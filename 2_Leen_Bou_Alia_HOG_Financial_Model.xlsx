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cals" sheetId="2" state="visible" r:id="rId4"/>
    <sheet name="Inputs" sheetId="3" state="visible" r:id="rId5"/>
    <sheet name="Assumptions" sheetId="4" state="visible" r:id="rId6"/>
    <sheet name="Valuation" sheetId="5" state="visible" r:id="rId7"/>
    <sheet name="Base" sheetId="6" state="visible" r:id="rId8"/>
    <sheet name="Bear" sheetId="7" state="visible" r:id="rId9"/>
    <sheet name="Bull" sheetId="8" state="visible" r:id="rId10"/>
    <sheet name="Exhibi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1" authorId="0">
      <text>
        <r>
          <rPr>
            <sz val="10"/>
            <rFont val="Arial"/>
            <family val="2"/>
          </rPr>
          <t xml:space="preserve">Includes $250.0m long-term deposits (Jun-26 10-Q), which sit inside 'Other long-term liabilities'.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64" authorId="0">
      <text>
        <r>
          <rPr>
            <sz val="10"/>
            <rFont val="Arial"/>
            <family val="2"/>
          </rPr>
          <t xml:space="preserve">Funding ratio applied to finance receivables; $250.0m long-term deposits are carried in Other LT liabilities, so they are deducted here.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64" authorId="0">
      <text>
        <r>
          <rPr>
            <sz val="10"/>
            <rFont val="Arial"/>
            <family val="2"/>
          </rPr>
          <t xml:space="preserve">Funding ratio applied to finance receivables; $250.0m long-term deposits are carried in Other LT liabilities, so they are deducted here.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64" authorId="0">
      <text>
        <r>
          <rPr>
            <sz val="10"/>
            <rFont val="Arial"/>
            <family val="2"/>
          </rPr>
          <t xml:space="preserve">Funding ratio applied to finance receivables; $250.0m long-term deposits are carried in Other LT liabilities, so they are deducted here.</t>
        </r>
      </text>
    </comment>
  </commentList>
</comments>
</file>

<file path=xl/sharedStrings.xml><?xml version="1.0" encoding="utf-8"?>
<sst xmlns="http://schemas.openxmlformats.org/spreadsheetml/2006/main" count="1551" uniqueCount="488">
  <si>
    <t xml:space="preserve">Harley-Davidson, Inc. (NYSE: HOG) - Short</t>
  </si>
  <si>
    <t xml:space="preserve">Squarepoint EDGE Stock Pitch - Financial model | Leen Bou Alia | October 2026</t>
  </si>
  <si>
    <t xml:space="preserve">Key outputs</t>
  </si>
  <si>
    <t xml:space="preserve">Current price</t>
  </si>
  <si>
    <t xml:space="preserve">Price target (probability-weighted)</t>
  </si>
  <si>
    <t xml:space="preserve">Expected return to a short</t>
  </si>
  <si>
    <t xml:space="preserve">Bear / Base / Bull value per share</t>
  </si>
  <si>
    <t xml:space="preserve">FY2026E EPS (Base) vs. consensus $0.68</t>
  </si>
  <si>
    <t xml:space="preserve">FY2027E EPS (Base)</t>
  </si>
  <si>
    <t xml:space="preserve">Signal</t>
  </si>
  <si>
    <t xml:space="preserve">Colour legend (per competition prompt)</t>
  </si>
  <si>
    <t xml:space="preserve">Reported company data</t>
  </si>
  <si>
    <t xml:space="preserve">Formulas &amp; calculations</t>
  </si>
  <si>
    <t xml:space="preserve">Participant assumptions</t>
  </si>
  <si>
    <t xml:space="preserve">Consensus / market estimates</t>
  </si>
  <si>
    <t xml:space="preserve">Structure</t>
  </si>
  <si>
    <t xml:space="preserve">Inputs - market data, guidance, common and scenario assumptions (edit red cells only)</t>
  </si>
  <si>
    <t xml:space="preserve">Historicals - 8 quarters (Q3'24-Q2'26) transcribed from SEC filings, with sources</t>
  </si>
  <si>
    <t xml:space="preserve">Base / Bear / Bull - integrated IS, BS, CF; unit drivers; ROIC; DCF &amp; multiples SOTP (one sheet per scenario)</t>
  </si>
  <si>
    <t xml:space="preserve">Quarterly forecast Q3'26-Q4'27 (6 quarters) + annual FY2028E-FY2029E</t>
  </si>
  <si>
    <t xml:space="preserve">Assumptions - log of every input (live links) plus structural/methodology assumptions</t>
  </si>
  <si>
    <t xml:space="preserve">Valuation - probability-weighted scenarios, price target, comps, EPS &amp; valuation sensitivities</t>
  </si>
  <si>
    <t xml:space="preserve">Exhibits - data series for memo charts</t>
  </si>
  <si>
    <t xml:space="preserve">Key modelling choice: HDMC gross profit = contribution margin x revenue - fixed manufacturing cost,</t>
  </si>
  <si>
    <t xml:space="preserve">fitted on Q1'25-Q2'26 (see Inputs). This captures Q4 under-absorption losses and operating leverage.</t>
  </si>
  <si>
    <t xml:space="preserve">Harley-Davidson, Inc. - Reported historical data (as reported; $ thousands unless noted)</t>
  </si>
  <si>
    <t xml:space="preserve">Blue = reported company data, transcribed from SEC filings (8-K earnings releases and 10-Q). Quarterly cash flows derived as YTD differences. D&amp;A and SBC from 10-Q cash flow statements as compiled by StockAnalysis.</t>
  </si>
  <si>
    <t xml:space="preserve">Line item</t>
  </si>
  <si>
    <t xml:space="preserve">Unit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</si>
  <si>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</si>
  <si>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</si>
  <si>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</si>
  <si>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</si>
  <si>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</si>
  <si>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</si>
  <si>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</si>
  <si>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</si>
  <si>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Income statement (segment presentation)</t>
  </si>
  <si>
    <t xml:space="preserve">HDMC - Motorcycles revenue</t>
  </si>
  <si>
    <t xml:space="preserve">$000</t>
  </si>
  <si>
    <t xml:space="preserve">HDMC - Parts &amp; accessories revenue</t>
  </si>
  <si>
    <t xml:space="preserve">HDMC - Apparel revenue</t>
  </si>
  <si>
    <t xml:space="preserve">HDMC - Licensing revenue</t>
  </si>
  <si>
    <t xml:space="preserve">HDMC - Other revenue</t>
  </si>
  <si>
    <t xml:space="preserve">HDMC gross profit</t>
  </si>
  <si>
    <t xml:space="preserve">HDMC operating expense</t>
  </si>
  <si>
    <t xml:space="preserve">LiveWire revenue</t>
  </si>
  <si>
    <t xml:space="preserve">LiveWire gross profit</t>
  </si>
  <si>
    <t xml:space="preserve">LiveWire operating expense</t>
  </si>
  <si>
    <t xml:space="preserve">HDFS revenue</t>
  </si>
  <si>
    <t xml:space="preserve">HDFS operating income</t>
  </si>
  <si>
    <t xml:space="preserve">Other income, net</t>
  </si>
  <si>
    <t xml:space="preserve">Investment income</t>
  </si>
  <si>
    <t xml:space="preserve">Interest expense</t>
  </si>
  <si>
    <t xml:space="preserve">Income tax provision (benefit)</t>
  </si>
  <si>
    <t xml:space="preserve">Loss attributable to noncontrolling interests</t>
  </si>
  <si>
    <t xml:space="preserve">Diluted weighted avg. shares</t>
  </si>
  <si>
    <t xml:space="preserve">000s</t>
  </si>
  <si>
    <t xml:space="preserve">Diluted EPS (as reported)</t>
  </si>
  <si>
    <t xml:space="preserve">$</t>
  </si>
  <si>
    <t xml:space="preserve">Dividends per share</t>
  </si>
  <si>
    <t xml:space="preserve">Units</t>
  </si>
  <si>
    <t xml:space="preserve">HDMC worldwide shipments</t>
  </si>
  <si>
    <t xml:space="preserve">units</t>
  </si>
  <si>
    <t xml:space="preserve">  Grand American Touring (incl. Trike)</t>
  </si>
  <si>
    <t xml:space="preserve">  Cruiser</t>
  </si>
  <si>
    <t xml:space="preserve">  Sport &amp; Lightweight</t>
  </si>
  <si>
    <t xml:space="preserve">  Adventure Touring</t>
  </si>
  <si>
    <t xml:space="preserve">Retail sales - North America</t>
  </si>
  <si>
    <t xml:space="preserve">Retail sales - EMEA</t>
  </si>
  <si>
    <t xml:space="preserve">Retail sales - Asia Pacific</t>
  </si>
  <si>
    <t xml:space="preserve">Retail sales - Latin America</t>
  </si>
  <si>
    <t xml:space="preserve">Global dealer inventory, YoY change</t>
  </si>
  <si>
    <t xml:space="preserve">%</t>
  </si>
  <si>
    <t xml:space="preserve">Balance sheet (period end)</t>
  </si>
  <si>
    <t xml:space="preserve">Cash and cash equivalents</t>
  </si>
  <si>
    <t xml:space="preserve">Restricted cash (current)</t>
  </si>
  <si>
    <t xml:space="preserve">Accounts receivable, net</t>
  </si>
  <si>
    <t xml:space="preserve">Finance receivables held for sale</t>
  </si>
  <si>
    <t xml:space="preserve">Finance receivables HFI - current</t>
  </si>
  <si>
    <t xml:space="preserve">Inventories, net</t>
  </si>
  <si>
    <t xml:space="preserve">Other current assets</t>
  </si>
  <si>
    <t xml:space="preserve">Finance receivables HFI - long-term</t>
  </si>
  <si>
    <t xml:space="preserve">Other long-term assets (incl. PP&amp;E, pension, goodwill)</t>
  </si>
  <si>
    <t xml:space="preserve">Total assets</t>
  </si>
  <si>
    <t xml:space="preserve">Accounts payable &amp; accrued liabilities</t>
  </si>
  <si>
    <t xml:space="preserve">Short-term deposits</t>
  </si>
  <si>
    <t xml:space="preserve">Short-term debt</t>
  </si>
  <si>
    <t xml:space="preserve">Current portion of long-term debt</t>
  </si>
  <si>
    <t xml:space="preserve">Long-term debt</t>
  </si>
  <si>
    <t xml:space="preserve">Other long-term liabilities (incl. LT deposits)</t>
  </si>
  <si>
    <t xml:space="preserve">Total equity (incl. NCI)</t>
  </si>
  <si>
    <t xml:space="preserve">Cash flow (quarterly)</t>
  </si>
  <si>
    <t xml:space="preserve">Net cash from operating activities</t>
  </si>
  <si>
    <t xml:space="preserve">Depreciation &amp; amortization</t>
  </si>
  <si>
    <t xml:space="preserve">Stock-based compensation</t>
  </si>
  <si>
    <t xml:space="preserve">Capital expenditures</t>
  </si>
  <si>
    <t xml:space="preserve">Net cash from investing activities</t>
  </si>
  <si>
    <t xml:space="preserve">Dividends paid</t>
  </si>
  <si>
    <t xml:space="preserve">Repurchase of common stock</t>
  </si>
  <si>
    <t xml:space="preserve">Net cash from financing activities</t>
  </si>
  <si>
    <t xml:space="preserve">FX effect on cash</t>
  </si>
  <si>
    <t xml:space="preserve">Sources by quarter</t>
  </si>
  <si>
    <t xml:space="preserve">8-K Ex.99.1, Q3'25 release (prior-yr column), sec.gov/Archives/edgar/data/793952/000110465925105891</t>
  </si>
  <si>
    <t xml:space="preserve">8-K Ex.99.1, Q4'25 release (prior-yr column), sec.gov/Archives/edgar/data/793952/000079395226000004</t>
  </si>
  <si>
    <t xml:space="preserve">8-K Ex.99.1, Q1'26 release (prior-yr column), sec.gov/Archives/edgar/data/793952/000079395226000029</t>
  </si>
  <si>
    <t xml:space="preserve">8-K Ex.99.1, Q2'26 release (prior-yr column) / Q2'26 10-Q</t>
  </si>
  <si>
    <t xml:space="preserve">8-K Ex.99.1, Q3'25 release, sec.gov/Archives/edgar/data/793952/000110465925105891</t>
  </si>
  <si>
    <t xml:space="preserve">8-K Ex.99.1, Q4'25 release, sec.gov/Archives/edgar/data/793952/000079395226000004</t>
  </si>
  <si>
    <t xml:space="preserve">8-K Ex.99.1, Q1'26 release, sec.gov/Archives/edgar/data/793952/000079395226000029</t>
  </si>
  <si>
    <t xml:space="preserve">8-K Ex.99.1 + 10-Q Q2'26, sec.gov/Archives/edgar/data/793952/000079395226000055 / 000079395226000061</t>
  </si>
  <si>
    <t xml:space="preserve">Dealer inventory YoY: Q3'25 release ('down 13%'), Q4'25 ('down 17%'), Q1'26 ('down 22%'), Q2'26 ('down 17%').</t>
  </si>
  <si>
    <t xml:space="preserve">Q4'25 buybacks exclude $40.0M of repurchases not yet settled (shown separately in FY25 financing cash flow).</t>
  </si>
  <si>
    <t xml:space="preserve">Helper: HDMC total revenue ($000)</t>
  </si>
  <si>
    <t xml:space="preserve">Inputs &amp; assumptions</t>
  </si>
  <si>
    <t xml:space="preserve">Red = analyst assumption (edit these)  |  Purple = consensus / market data  |  Black = formula</t>
  </si>
  <si>
    <t xml:space="preserve">Market &amp; consensus data</t>
  </si>
  <si>
    <t xml:space="preserve">HOG share price</t>
  </si>
  <si>
    <t xml:space="preserve">Updated 7-Oct-2026 (was $26.19 close 5-Oct per StockAnalysis). Update again on submission day.</t>
  </si>
  <si>
    <t xml:space="preserve">Shares outstanding</t>
  </si>
  <si>
    <t xml:space="preserve">m</t>
  </si>
  <si>
    <t xml:space="preserve">StockAnalysis, latest reported.</t>
  </si>
  <si>
    <t xml:space="preserve">Consensus FY2026 EPS</t>
  </si>
  <si>
    <t xml:space="preserve">TIKR / Citi upgrade coverage, Oct-2026.</t>
  </si>
  <si>
    <t xml:space="preserve">Consensus FY2026 revenue growth</t>
  </si>
  <si>
    <t xml:space="preserve">TIKR, Oct-2026 (motorcycles &amp; related).</t>
  </si>
  <si>
    <t xml:space="preserve">Consensus FY2027 revenue growth</t>
  </si>
  <si>
    <t xml:space="preserve">TIKR, Oct-2026.</t>
  </si>
  <si>
    <t xml:space="preserve">Consensus average price target</t>
  </si>
  <si>
    <t xml:space="preserve">StockAnalysis, Oct-2026 (Hold).</t>
  </si>
  <si>
    <t xml:space="preserve">Citi price target (upgrade to Buy, 5-Oct-2026)</t>
  </si>
  <si>
    <t xml:space="preserve">Citi Research via GuruFocus/TIKR.</t>
  </si>
  <si>
    <t xml:space="preserve">Short interest, % of shares outstanding</t>
  </si>
  <si>
    <t xml:space="preserve">StockAnalysis; 11.2 days to cover.</t>
  </si>
  <si>
    <t xml:space="preserve">Enterprise value (market)</t>
  </si>
  <si>
    <t xml:space="preserve">$m</t>
  </si>
  <si>
    <t xml:space="preserve">StockAnalysis, 5-Oct-2026.</t>
  </si>
  <si>
    <t xml:space="preserve">EV / EBITDA (trailing, market)</t>
  </si>
  <si>
    <t xml:space="preserve">x</t>
  </si>
  <si>
    <t xml:space="preserve">Price / book (market)</t>
  </si>
  <si>
    <t xml:space="preserve">StockAnalysis, 5-Oct-2026 (static; comps table recomputes P/B at current price).</t>
  </si>
  <si>
    <t xml:space="preserve">HOG net debt &amp; other claims used in market EV</t>
  </si>
  <si>
    <t xml:space="preserve">EV $3.72bn - mkt cap $2.73bn, StockAnalysis 5-Oct-2026. Held constant when price changes.</t>
  </si>
  <si>
    <t xml:space="preserve">HOG trailing EBITDA (market-data basis)</t>
  </si>
  <si>
    <t xml:space="preserve">Implied: EV $3,720m / 8.66x (StockAnalysis). Includes HDFS loan-sale gains.</t>
  </si>
  <si>
    <t xml:space="preserve">HOG consensus next-12m EPS (implied)</t>
  </si>
  <si>
    <t xml:space="preserve">Implied: $26.19 / 18.26x forward P/E (StockAnalysis, 5-Oct-2026).</t>
  </si>
  <si>
    <t xml:space="preserve">HOG annual dividend per share</t>
  </si>
  <si>
    <t xml:space="preserve">4 x $0.1875 quarterly (Q2'26 8-K).</t>
  </si>
  <si>
    <t xml:space="preserve">Company guidance (FY2026, Q2'26 release)</t>
  </si>
  <si>
    <t xml:space="preserve">HDMC wholesale shipments - low</t>
  </si>
  <si>
    <t xml:space="preserve">Q2'26 8-K Ex.99.1</t>
  </si>
  <si>
    <t xml:space="preserve">HDMC wholesale shipments - high</t>
  </si>
  <si>
    <t xml:space="preserve">Same range guided for retail.</t>
  </si>
  <si>
    <t xml:space="preserve">HDMC operating income - low</t>
  </si>
  <si>
    <t xml:space="preserve">HDMC operating income - high</t>
  </si>
  <si>
    <t xml:space="preserve">Long-term deposits at Jun-26 (in Other LT liabilities)</t>
  </si>
  <si>
    <t xml:space="preserve">Q2'26 10-Q balance sheet.</t>
  </si>
  <si>
    <t xml:space="preserve">Common assumptions (all scenarios)</t>
  </si>
  <si>
    <t xml:space="preserve">Effective tax rate</t>
  </si>
  <si>
    <t xml:space="preserve">~FY25 normalised rate.</t>
  </si>
  <si>
    <t xml:space="preserve">Other income, net (per quarter)</t>
  </si>
  <si>
    <t xml:space="preserve">H1'26 run-rate ~$12.3m/qtr (pension income).</t>
  </si>
  <si>
    <t xml:space="preserve">Investment income (per quarter)</t>
  </si>
  <si>
    <t xml:space="preserve">Lower cash balances after buybacks/debt paydown.</t>
  </si>
  <si>
    <t xml:space="preserve">Corporate interest expense (per quarter)</t>
  </si>
  <si>
    <t xml:space="preserve">H1'26 run-rate.</t>
  </si>
  <si>
    <t xml:space="preserve">D&amp;A (per quarter)</t>
  </si>
  <si>
    <t xml:space="preserve">H1'26 avg $43.4m.</t>
  </si>
  <si>
    <t xml:space="preserve">Stock-based compensation (per quarter)</t>
  </si>
  <si>
    <t xml:space="preserve">H1'26 avg $9.0m.</t>
  </si>
  <si>
    <t xml:space="preserve">NCI share of LiveWire operating loss</t>
  </si>
  <si>
    <t xml:space="preserve">H1'26: $1.5m NCI loss / $35.6m LW loss.</t>
  </si>
  <si>
    <t xml:space="preserve">FY2026 capex</t>
  </si>
  <si>
    <t xml:space="preserve">Guidance $175-200m; H1'26 actual $44.7m.</t>
  </si>
  <si>
    <t xml:space="preserve">Capex per year, FY2027+</t>
  </si>
  <si>
    <t xml:space="preserve">Q3 share of H2'26 shipments</t>
  </si>
  <si>
    <t xml:space="preserve">Q3'25 was 73% of H2'25 shipments, but Q4'25 was depressed by destocking.</t>
  </si>
  <si>
    <t xml:space="preserve">FY2027 shipment seasonality - Q1</t>
  </si>
  <si>
    <t xml:space="preserve">Q4 kept low (northern off-season).</t>
  </si>
  <si>
    <t xml:space="preserve">FY2027 shipment seasonality - Q2</t>
  </si>
  <si>
    <t xml:space="preserve">FY2027 shipment seasonality - Q3</t>
  </si>
  <si>
    <t xml:space="preserve">FY2027 shipment seasonality - Q4</t>
  </si>
  <si>
    <t xml:space="preserve">Plug so shares sum to 100%.</t>
  </si>
  <si>
    <t xml:space="preserve">HDMC fixed manufacturing cost inflation, per year</t>
  </si>
  <si>
    <t xml:space="preserve">Finance receivables growth, per year</t>
  </si>
  <si>
    <t xml:space="preserve">Capital-light HDFS: originations sold to KKR/PIMCO vehicle.</t>
  </si>
  <si>
    <t xml:space="preserve">Dividend per share growth, per year</t>
  </si>
  <si>
    <t xml:space="preserve">Recent increases ~4%/yr.</t>
  </si>
  <si>
    <t xml:space="preserve">Non-Financial Services entities: cash &amp; equivalents, Jun-26</t>
  </si>
  <si>
    <t xml:space="preserve">Q2'26 10-Q, Note 17 Supplemental Consolidating Data (HDMC + LiveWire legal entities). Financial Services entities hold the other $612.5m.</t>
  </si>
  <si>
    <t xml:space="preserve">Non-Financial Services entities: debt, Jun-26</t>
  </si>
  <si>
    <t xml:space="preserve">Q2'26 10-Q, Note 17: long-term debt only ($300m 4.625% senior notes due 2045); no short-term debt.</t>
  </si>
  <si>
    <t xml:space="preserve">HDMC net cash ex-HDFS (valuation)</t>
  </si>
  <si>
    <t xml:space="preserve">Cash less debt of the Non-Financial Services entities (Note 17). HDFS cash is captured in HDFS equity value.</t>
  </si>
  <si>
    <t xml:space="preserve">Value of LiveWire stake</t>
  </si>
  <si>
    <t xml:space="preserve">LiveWire is loss-making; nominal option value.</t>
  </si>
  <si>
    <t xml:space="preserve">Diluted shares for valuation</t>
  </si>
  <si>
    <t xml:space="preserve">104.1m outstanding + ~1m dilution.</t>
  </si>
  <si>
    <t xml:space="preserve">DCF: years to mid-FY2027 cash flow</t>
  </si>
  <si>
    <t xml:space="preserve">yrs</t>
  </si>
  <si>
    <t xml:space="preserve">Valuation date Oct-2026; mid-year convention.</t>
  </si>
  <si>
    <t xml:space="preserve">DCF: terminal value timing after last (mid-year) cash flow</t>
  </si>
  <si>
    <t xml:space="preserve">TV discounted from end-FY2029.</t>
  </si>
  <si>
    <t xml:space="preserve">DCF: floor industrial EV at zero? (1 = yes)</t>
  </si>
  <si>
    <t xml:space="preserve">flag</t>
  </si>
  <si>
    <t xml:space="preserve">Equity holders are not assumed to fund perpetual negative industrial FCF; 0 lets EV go negative.</t>
  </si>
  <si>
    <t xml:space="preserve">Expected short return needed for 'SHORT supported' signal</t>
  </si>
  <si>
    <t xml:space="preserve">Hurdle for a crowded short (18% SI, ~3% dividend carry).</t>
  </si>
  <si>
    <t xml:space="preserve">Fitted HDMC cost structure (regression of gross profit on revenue, Q1'25-Q2'26)</t>
  </si>
  <si>
    <t xml:space="preserve">Contribution margin (slope)</t>
  </si>
  <si>
    <t xml:space="preserve">SLOPE of HDMC gross profit vs. HDMC revenue.</t>
  </si>
  <si>
    <t xml:space="preserve">Fixed manufacturing cost per quarter (-intercept)</t>
  </si>
  <si>
    <t xml:space="preserve">Q4 losses are fixed-cost under-absorption: GP = CM x revenue - fixed cost.</t>
  </si>
  <si>
    <t xml:space="preserve">R-squared of fit</t>
  </si>
  <si>
    <t xml:space="preserve">Base motorcycle revenue per unit (H1'26 avg)</t>
  </si>
  <si>
    <t xml:space="preserve">H1'26 motorcycles revenue / H1'26 shipments.</t>
  </si>
  <si>
    <t xml:space="preserve">HDFS funding ratio: (debt + deposits) / finance receivables, Jun-26</t>
  </si>
  <si>
    <t xml:space="preserve">Scenario assumptions</t>
  </si>
  <si>
    <t xml:space="preserve">Bear</t>
  </si>
  <si>
    <t xml:space="preserve">Base</t>
  </si>
  <si>
    <t xml:space="preserve">Bull</t>
  </si>
  <si>
    <t xml:space="preserve">Scenario probability</t>
  </si>
  <si>
    <t xml:space="preserve">Analyst view; must sum to 100%.</t>
  </si>
  <si>
    <t xml:space="preserve">Retail growth, H2'26 vs H2'25</t>
  </si>
  <si>
    <t xml:space="preserve">H1'26 retail +3.7%. Citi checks: Sept 'up double digits'. Guidance implies FY +0.7% to +4.5%.</t>
  </si>
  <si>
    <t xml:space="preserve">Retail growth, FY2027</t>
  </si>
  <si>
    <t xml:space="preserve">Touring -13% / cruiser -6% industry-wide in 2025 (MIC). Consumer sentiment -11% YoY.</t>
  </si>
  <si>
    <t xml:space="preserve">Retail growth, FY2028</t>
  </si>
  <si>
    <t xml:space="preserve">Retail growth, FY2029</t>
  </si>
  <si>
    <t xml:space="preserve">FY2026 HDMC shipments</t>
  </si>
  <si>
    <t xml:space="preserve">Guidance 133.5k-138.5k. H1'26 actual 76,504.</t>
  </si>
  <si>
    <t xml:space="preserve">Shipments vs. retail, FY2027 (restock + / destock -)</t>
  </si>
  <si>
    <t xml:space="preserve">Dealer inventory -17% YoY at Q2'26 (lean). Bear: dealers stay lean as demand fades.</t>
  </si>
  <si>
    <t xml:space="preserve">Shipments vs. retail, FY2028</t>
  </si>
  <si>
    <t xml:space="preserve">Shipments vs. retail, FY2029</t>
  </si>
  <si>
    <t xml:space="preserve">Revenue/unit vs. H1'26 avg, H2'26 (price &amp; mix)</t>
  </si>
  <si>
    <t xml:space="preserve">Sport &amp; Lightweight shipments +45% YoY in Q2'26: mix moving down-market.</t>
  </si>
  <si>
    <t xml:space="preserve">Revenue/unit growth, FY2027</t>
  </si>
  <si>
    <t xml:space="preserve">New lower-priced models launching 2027.</t>
  </si>
  <si>
    <t xml:space="preserve">Revenue/unit growth, FY2028</t>
  </si>
  <si>
    <t xml:space="preserve">Revenue/unit growth, FY2029</t>
  </si>
  <si>
    <t xml:space="preserve">Parts &amp; accessories / apparel / other growth, per year</t>
  </si>
  <si>
    <t xml:space="preserve">P&amp;A -5% YoY in Q2'26 (ageing installed base).</t>
  </si>
  <si>
    <t xml:space="preserve">Contribution margin vs. fitted, H2'26</t>
  </si>
  <si>
    <t xml:space="preserve">Q2'26 gross margin -108bp YoY; tariffs; memory/commodity costs.</t>
  </si>
  <si>
    <t xml:space="preserve">Contribution margin vs. fitted, FY2027+</t>
  </si>
  <si>
    <t xml:space="preserve">Lower-priced models dilute unit margin (bear) vs. cost savings (bull).</t>
  </si>
  <si>
    <t xml:space="preserve">HDMC operating expense growth, per year</t>
  </si>
  <si>
    <t xml:space="preserve">Bull assumes Citi's cost-savings case.</t>
  </si>
  <si>
    <t xml:space="preserve">LiveWire operating income, FY2026</t>
  </si>
  <si>
    <t xml:space="preserve">Guidance $(70)-(80)m.</t>
  </si>
  <si>
    <t xml:space="preserve">LiveWire operating income, FY2027</t>
  </si>
  <si>
    <t xml:space="preserve">LiveWire operating income, FY2028</t>
  </si>
  <si>
    <t xml:space="preserve">LiveWire operating income, FY2029</t>
  </si>
  <si>
    <t xml:space="preserve">LiveWire revenue growth, per year</t>
  </si>
  <si>
    <t xml:space="preserve">HDFS operating income, FY2026</t>
  </si>
  <si>
    <t xml:space="preserve">Guidance $55-65m (capital-light model).</t>
  </si>
  <si>
    <t xml:space="preserve">HDFS operating income, FY2027</t>
  </si>
  <si>
    <t xml:space="preserve">HDFS operating income, FY2028</t>
  </si>
  <si>
    <t xml:space="preserve">HDFS operating income, FY2029</t>
  </si>
  <si>
    <t xml:space="preserve">HDFS revenue growth, per year</t>
  </si>
  <si>
    <t xml:space="preserve">Share buybacks per quarter</t>
  </si>
  <si>
    <t xml:space="preserve">H1'26: $100m.</t>
  </si>
  <si>
    <t xml:space="preserve">EV / EBITDA multiple on FY2027E industrial EBITDA</t>
  </si>
  <si>
    <t xml:space="preserve">Peers: PII 9.8x, BRP 8.1x (trailing). Bear = auto-OEM multiple.</t>
  </si>
  <si>
    <t xml:space="preserve">P/E on FY2027E HDFS after-tax income</t>
  </si>
  <si>
    <t xml:space="preserve">Consumer finance peers ~8-11x.</t>
  </si>
  <si>
    <t xml:space="preserve">WACC</t>
  </si>
  <si>
    <t xml:space="preserve">Beta 1.3, ERP 5%, rf 4.2%.</t>
  </si>
  <si>
    <t xml:space="preserve">Terminal growth</t>
  </si>
  <si>
    <t xml:space="preserve">Weight on DCF (vs. multiples) in price target</t>
  </si>
  <si>
    <t xml:space="preserve">Check: probabilities sum to 100%</t>
  </si>
  <si>
    <t xml:space="preserve">Assumptions log - every input used by the model, with rationale and source</t>
  </si>
  <si>
    <t xml:space="preserve">Values link live to the Inputs tab (edit them there). Colour of the value follows the prompt: red = analyst assumption, purple = market/consensus, blue = reported, black = derived.</t>
  </si>
  <si>
    <t xml:space="preserve">#</t>
  </si>
  <si>
    <t xml:space="preserve">Assumption</t>
  </si>
  <si>
    <t xml:space="preserve">Type</t>
  </si>
  <si>
    <t xml:space="preserve">Value / Base</t>
  </si>
  <si>
    <t xml:space="preserve">Rationale &amp; source</t>
  </si>
  <si>
    <t xml:space="preserve">Market / consensus</t>
  </si>
  <si>
    <t xml:space="preserve">Reported / guidance</t>
  </si>
  <si>
    <t xml:space="preserve">Analyst assumption</t>
  </si>
  <si>
    <t xml:space="preserve">Derived (formula)</t>
  </si>
  <si>
    <t xml:space="preserve">Scenario assumption</t>
  </si>
  <si>
    <t xml:space="preserve">Structural / methodology assumptions (built into formulas)</t>
  </si>
  <si>
    <t xml:space="preserve">HDMC cost structure</t>
  </si>
  <si>
    <t xml:space="preserve">Gross profit = contribution margin x HDMC revenue - fixed manufacturing cost per quarter. CM and fixed cost from an OLS fit on Q1'25-Q2'26 (Inputs), plus scenario CM adjustments; fixed cost inflates annually. Explains Q4 losses as under-absorption.</t>
  </si>
  <si>
    <t xml:space="preserve">Retail units</t>
  </si>
  <si>
    <t xml:space="preserve">Each forecast quarter = same quarter last year x (1 + scenario retail growth for that year); FY2028-29 annual.</t>
  </si>
  <si>
    <t xml:space="preserve">Shipments</t>
  </si>
  <si>
    <t xml:space="preserve">FY2026 shipments set by scenario (guidance 133.5-138.5k); H2'26 split by the Q3-share input. FY2027+ = retail x (1 + restock/destock factor), spread by the seasonality inputs.</t>
  </si>
  <si>
    <t xml:space="preserve">Motorcycle revenue</t>
  </si>
  <si>
    <t xml:space="preserve">Shipments x revenue per unit; revenue per unit starts from the H1'26 average and moves with scenario price/mix changes.</t>
  </si>
  <si>
    <t xml:space="preserve">Other HDMC revenue</t>
  </si>
  <si>
    <t xml:space="preserve">Parts &amp; accessories and apparel/licensing/other grow from the same quarter last year at the scenario rate.</t>
  </si>
  <si>
    <t xml:space="preserve">Same quarter last year x (1 + scenario opex growth).</t>
  </si>
  <si>
    <t xml:space="preserve">LiveWire</t>
  </si>
  <si>
    <t xml:space="preserve">Operating loss set annually by scenario (FY2026 remainder split evenly over Q3/Q4); revenue grows at the scenario rate. NCI absorbs a fixed share of the loss.</t>
  </si>
  <si>
    <t xml:space="preserve">HDFS</t>
  </si>
  <si>
    <t xml:space="preserve">Operating income set annually by scenario (FY2026 remainder split evenly); revenue grows from the H1'26 average; HDFS expense is the residual.</t>
  </si>
  <si>
    <t xml:space="preserve">Below-the-line items</t>
  </si>
  <si>
    <t xml:space="preserve">Other income, investment income and interest expense held at fixed quarterly run-rates (not linked to cash balances).</t>
  </si>
  <si>
    <t xml:space="preserve">Taxes</t>
  </si>
  <si>
    <t xml:space="preserve">Flat effective rate applied to pre-tax income, including tax benefits on losses.</t>
  </si>
  <si>
    <t xml:space="preserve">Share count</t>
  </si>
  <si>
    <t xml:space="preserve">Diluted shares fall each quarter by buybacks / current share price; no new issuance beyond the SBC already in the base share count.</t>
  </si>
  <si>
    <t xml:space="preserve">Dividends</t>
  </si>
  <si>
    <t xml:space="preserve">Dividend per share x diluted shares; DPS flat through 2026, then grows at the DPS growth input.</t>
  </si>
  <si>
    <t xml:space="preserve">Working capital</t>
  </si>
  <si>
    <t xml:space="preserve">Receivables, inventory and payables = same quarter last year x annual HDMC revenue growth (keeps seasonality); other current assets and other LT liabilities held flat.</t>
  </si>
  <si>
    <t xml:space="preserve">Fixed assets</t>
  </si>
  <si>
    <t xml:space="preserve">Other LT assets (incl. PP&amp;E) roll forward: prior + capex - D&amp;A.</t>
  </si>
  <si>
    <t xml:space="preserve">HDFS funding</t>
  </si>
  <si>
    <t xml:space="preserve">Finance receivables grow at the input rate; debt &amp; deposits = receivables x Jun-26 funding ratio (less LT deposits carried in other LT liabilities). No refinancing or new corporate debt.</t>
  </si>
  <si>
    <t xml:space="preserve">Cash</t>
  </si>
  <si>
    <t xml:space="preserve">Plug from the cash flow statement; FX effect assumed zero.</t>
  </si>
  <si>
    <t xml:space="preserve">Valuation</t>
  </si>
  <si>
    <t xml:space="preserve">SOTP on FY2027E: industrial EV (EV/EBITDA and DCF of unlevered FCF, blended by scenario weight) + HDFS at P/E + LiveWire option value + HDMC net cash ex-HDFS, divided by diluted shares for valuation. Price target = probability-weighted scenario values.</t>
  </si>
  <si>
    <t xml:space="preserve">DCF</t>
  </si>
  <si>
    <t xml:space="preserve">Explicit FY2027-29 unlevered FCF, mid-year discounting, Gordon terminal value on FY2029 UFCF (floored at zero), industrial EV floored at zero when the flag is on.</t>
  </si>
  <si>
    <t xml:space="preserve">Sensitivity grids</t>
  </si>
  <si>
    <t xml:space="preserve">Row/column headers on the Valuation tab (red) are analyst-chosen ranges; EPS grid scales FY2027 HDMC revenue with retail growth and holds opex and fixed cost at Base.</t>
  </si>
  <si>
    <t xml:space="preserve">Market data</t>
  </si>
  <si>
    <t xml:space="preserve">Peer multiples and HOG EV/EBITDA, P/E and short interest are static as of 3-6 Oct 2026; the HOG comps row recomputes at the Inputs price.</t>
  </si>
  <si>
    <t xml:space="preserve">Valuation summary, scenarios &amp; sensitivities</t>
  </si>
  <si>
    <t xml:space="preserve">Probability-weighted scenario analysis</t>
  </si>
  <si>
    <t xml:space="preserve">Prob.-wtd.</t>
  </si>
  <si>
    <t xml:space="preserve">Probability</t>
  </si>
  <si>
    <t xml:space="preserve">FY2027E retail units</t>
  </si>
  <si>
    <t xml:space="preserve">FY2027E shipments</t>
  </si>
  <si>
    <t xml:space="preserve">FY2027E HDMC revenue ($m)</t>
  </si>
  <si>
    <t xml:space="preserve">FY2027E HDMC gross margin</t>
  </si>
  <si>
    <t xml:space="preserve">FY2027E HDMC operating income ($m)</t>
  </si>
  <si>
    <t xml:space="preserve">FY2026E EPS</t>
  </si>
  <si>
    <t xml:space="preserve">FY2027E EPS</t>
  </si>
  <si>
    <t xml:space="preserve">FY2027E industrial EBITDA ($m)</t>
  </si>
  <si>
    <t xml:space="preserve">Value per share - multiples SOTP</t>
  </si>
  <si>
    <t xml:space="preserve">Value per share - DCF SOTP</t>
  </si>
  <si>
    <t xml:space="preserve">Scenario value per share (blended)</t>
  </si>
  <si>
    <t xml:space="preserve">vs. current price</t>
  </si>
  <si>
    <t xml:space="preserve">Recommendation</t>
  </si>
  <si>
    <t xml:space="preserve">Value</t>
  </si>
  <si>
    <t xml:space="preserve">Expected return to a SHORT position (excl. dividends &amp; borrow)</t>
  </si>
  <si>
    <t xml:space="preserve">Downside to bear case</t>
  </si>
  <si>
    <t xml:space="preserve">Upside to bull case (risk to short)</t>
  </si>
  <si>
    <t xml:space="preserve">Reward / risk (bear downside / bull upside)</t>
  </si>
  <si>
    <t xml:space="preserve">Dividend carry cost (12m)</t>
  </si>
  <si>
    <t xml:space="preserve">Citi price target</t>
  </si>
  <si>
    <t xml:space="preserve">Model FY2026E EPS (prob.-wtd.) vs. consensus</t>
  </si>
  <si>
    <t xml:space="preserve">Peer comparables (market data, Oct-2026)</t>
  </si>
  <si>
    <t xml:space="preserve">Price</t>
  </si>
  <si>
    <t xml:space="preserve">Mkt cap $bn</t>
  </si>
  <si>
    <t xml:space="preserve">EV $bn</t>
  </si>
  <si>
    <t xml:space="preserve">EV/EBITDA</t>
  </si>
  <si>
    <t xml:space="preserve">Fwd P/E</t>
  </si>
  <si>
    <t xml:space="preserve">P/B</t>
  </si>
  <si>
    <t xml:space="preserve">Div. yield</t>
  </si>
  <si>
    <t xml:space="preserve">Polaris (PII)</t>
  </si>
  <si>
    <t xml:space="preserve">BRP (DOO)</t>
  </si>
  <si>
    <t xml:space="preserve">Harley-Davidson (HOG)</t>
  </si>
  <si>
    <t xml:space="preserve">Peer average (PII, BRP)</t>
  </si>
  <si>
    <t xml:space="preserve">Peers: StockAnalysis.com (S&amp;P Global data), 3-6 Oct 2026, static. HOG row recomputes at the Inputs price (P/B on Jun-26 total equity). Eicher / Piaggio excluded (non-US listings).</t>
  </si>
  <si>
    <t xml:space="preserve">Sensitivity (Base case): FY2027E EPS</t>
  </si>
  <si>
    <t xml:space="preserve">Contribution margin vs. Base</t>
  </si>
  <si>
    <t xml:space="preserve">FY2027 retail growth (rows) / CM change (cols)</t>
  </si>
  <si>
    <t xml:space="preserve">Revenue scaled with retail growth; incremental gross profit taxed; opex and fixed cost held at Base.</t>
  </si>
  <si>
    <t xml:space="preserve">Sensitivity (Base case): multiples-SOTP value/share</t>
  </si>
  <si>
    <t xml:space="preserve">EV / EBITDA multiple</t>
  </si>
  <si>
    <t xml:space="preserve">HDMC net cash $m (rows) / multiple (cols)</t>
  </si>
  <si>
    <t xml:space="preserve">Sensitivity: probability-weighted price target</t>
  </si>
  <si>
    <t xml:space="preserve">Bull-case probability</t>
  </si>
  <si>
    <t xml:space="preserve">Bear probability (rows) / Bull probability (cols); Base = remainder</t>
  </si>
  <si>
    <t xml:space="preserve">Note: in Base/Bear the industrial DCF is floored at zero (Inputs flag); value then rests on HDFS + net cash.</t>
  </si>
  <si>
    <t xml:space="preserve">Harley-Davidson (HOG) - integrated model: BASE CASE ($ millions unless noted)</t>
  </si>
  <si>
    <t xml:space="preserve">Blue = reported | Black = formula | Red = assumption (see Inputs) | Purple = consensus/market. Shaded columns = forecast.</t>
  </si>
  <si>
    <t xml:space="preserve">Q3'26E</t>
  </si>
  <si>
    <t xml:space="preserve">Q4'26E</t>
  </si>
  <si>
    <t xml:space="preserve">Q1'27E</t>
  </si>
  <si>
    <t xml:space="preserve">Q2'27E</t>
  </si>
  <si>
    <t xml:space="preserve">Q3'27E</t>
  </si>
  <si>
    <t xml:space="preserve">Q4'27E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</si>
  <si>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</si>
  <si>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</si>
  <si>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</si>
  <si>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</si>
  <si>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</si>
  <si>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Unit drivers</t>
  </si>
  <si>
    <t xml:space="preserve">Retail sales - worldwide</t>
  </si>
  <si>
    <t xml:space="preserve">  of which North America</t>
  </si>
  <si>
    <t xml:space="preserve">Retail growth YoY</t>
  </si>
  <si>
    <t xml:space="preserve">HDMC shipments - worldwide</t>
  </si>
  <si>
    <t xml:space="preserve">Shipment growth YoY</t>
  </si>
  <si>
    <t xml:space="preserve">Implied dealer inventory change (shipments - retail)</t>
  </si>
  <si>
    <t xml:space="preserve">Reported global dealer inventory, YoY</t>
  </si>
  <si>
    <t xml:space="preserve">Sport &amp; Lightweight share of shipments</t>
  </si>
  <si>
    <t xml:space="preserve">Touring share of shipments</t>
  </si>
  <si>
    <t xml:space="preserve">Income statement</t>
  </si>
  <si>
    <t xml:space="preserve">Motorcycle revenue per unit</t>
  </si>
  <si>
    <t xml:space="preserve">HDMC - Parts &amp; accessories</t>
  </si>
  <si>
    <t xml:space="preserve">HDMC - Apparel, licensing &amp; other</t>
  </si>
  <si>
    <t xml:space="preserve">HDMC revenue</t>
  </si>
  <si>
    <t xml:space="preserve">HDMC revenue growth YoY</t>
  </si>
  <si>
    <t xml:space="preserve">HDMC gross margin</t>
  </si>
  <si>
    <t xml:space="preserve">HDMC operating income</t>
  </si>
  <si>
    <t xml:space="preserve">HDMC operating margin</t>
  </si>
  <si>
    <t xml:space="preserve">LiveWire operating income (loss)</t>
  </si>
  <si>
    <t xml:space="preserve">Total revenue</t>
  </si>
  <si>
    <t xml:space="preserve">Consolidated operating income</t>
  </si>
  <si>
    <t xml:space="preserve">Pre-tax income</t>
  </si>
  <si>
    <t xml:space="preserve">Income tax</t>
  </si>
  <si>
    <t xml:space="preserve">Net income (incl. NCI)</t>
  </si>
  <si>
    <t xml:space="preserve">Add: loss attributable to NCI</t>
  </si>
  <si>
    <t xml:space="preserve">Net income attributable to HOG</t>
  </si>
  <si>
    <t xml:space="preserve">Diluted shares</t>
  </si>
  <si>
    <t xml:space="preserve">Diluted EPS</t>
  </si>
  <si>
    <t xml:space="preserve">Diluted EPS - as reported (check)</t>
  </si>
  <si>
    <t xml:space="preserve">EBITDA &amp; segment profit</t>
  </si>
  <si>
    <t xml:space="preserve">D&amp;A</t>
  </si>
  <si>
    <t xml:space="preserve">Industrial EBITDA (HDMC + LiveWire + D&amp;A)</t>
  </si>
  <si>
    <t xml:space="preserve">Consolidated EBITDA</t>
  </si>
  <si>
    <t xml:space="preserve">Consensus EPS</t>
  </si>
  <si>
    <t xml:space="preserve">Model EPS vs. consensus</t>
  </si>
  <si>
    <t xml:space="preserve">Check: FY26 HDMC op. income within guidance $10-50m?</t>
  </si>
  <si>
    <t xml:space="preserve">Cash &amp; equivalents (incl. restricted)</t>
  </si>
  <si>
    <t xml:space="preserve">Accounts receivable</t>
  </si>
  <si>
    <t xml:space="preserve">Finance receivables (total)</t>
  </si>
  <si>
    <t xml:space="preserve">Inventories</t>
  </si>
  <si>
    <t xml:space="preserve">Other long-term assets (incl. PP&amp;E)</t>
  </si>
  <si>
    <t xml:space="preserve">Accounts payable &amp; accrued</t>
  </si>
  <si>
    <t xml:space="preserve">Debt &amp; deposits (mostly HDFS funding)</t>
  </si>
  <si>
    <t xml:space="preserve">Other long-term liabilities</t>
  </si>
  <si>
    <t xml:space="preserve">Total liabilities &amp; equity</t>
  </si>
  <si>
    <t xml:space="preserve">Balance check (assets - L&amp;E)</t>
  </si>
  <si>
    <t xml:space="preserve">Cash flow statement</t>
  </si>
  <si>
    <t xml:space="preserve">(Increase)/decrease in receivables</t>
  </si>
  <si>
    <t xml:space="preserve">(Increase)/decrease in inventories</t>
  </si>
  <si>
    <t xml:space="preserve">Increase/(decrease) in payables &amp; accrued</t>
  </si>
  <si>
    <t xml:space="preserve">Other operating items (historical plug)</t>
  </si>
  <si>
    <t xml:space="preserve">Cash from operations</t>
  </si>
  <si>
    <t xml:space="preserve">(Increase)/decrease in finance receivables</t>
  </si>
  <si>
    <t xml:space="preserve">Cash from investing</t>
  </si>
  <si>
    <t xml:space="preserve">Increase/(decrease) in debt &amp; deposits</t>
  </si>
  <si>
    <t xml:space="preserve">Share repurchases</t>
  </si>
  <si>
    <t xml:space="preserve">Cash from financing</t>
  </si>
  <si>
    <t xml:space="preserve">FX effect</t>
  </si>
  <si>
    <t xml:space="preserve">Net change in cash</t>
  </si>
  <si>
    <t xml:space="preserve">Free cash flow (CFO - capex)</t>
  </si>
  <si>
    <t xml:space="preserve">Returns (ROIC)</t>
  </si>
  <si>
    <t xml:space="preserve">NOPAT (consolidated op. income x (1 - tax))</t>
  </si>
  <si>
    <t xml:space="preserve">Invested capital (equity + debt - cash)</t>
  </si>
  <si>
    <t xml:space="preserve">ROIC (on average invested capital)</t>
  </si>
  <si>
    <t xml:space="preserve">HDMC NOPAT</t>
  </si>
  <si>
    <t xml:space="preserve">HDMC operating capital (AR + inventory + LT assets - AP)</t>
  </si>
  <si>
    <t xml:space="preserve">HDMC ROIC</t>
  </si>
  <si>
    <t xml:space="preserve">ROE (net income to HOG / avg equity)</t>
  </si>
  <si>
    <t xml:space="preserve">FY2027E industrial EBITDA</t>
  </si>
  <si>
    <t xml:space="preserve">Industrial EV (multiples)</t>
  </si>
  <si>
    <t xml:space="preserve">FY2027E HDFS after-tax income</t>
  </si>
  <si>
    <t xml:space="preserve">HDFS equity value (P/E)</t>
  </si>
  <si>
    <t xml:space="preserve">LiveWire stake</t>
  </si>
  <si>
    <t xml:space="preserve">HDMC net cash ex-HDFS</t>
  </si>
  <si>
    <t xml:space="preserve">Equity value - multiples SOTP</t>
  </si>
  <si>
    <t xml:space="preserve">Per share - multiples SOTP</t>
  </si>
  <si>
    <t xml:space="preserve">Industrial unlevered FCF (EBIT x (1-t) + D&amp;A - capex - dNWC)</t>
  </si>
  <si>
    <t xml:space="preserve">Discount period (years from Oct-2026)</t>
  </si>
  <si>
    <t xml:space="preserve">PV of UFCF</t>
  </si>
  <si>
    <t xml:space="preserve">Terminal value (Gordon, on FY2029E UFCF)</t>
  </si>
  <si>
    <t xml:space="preserve">PV of terminal value</t>
  </si>
  <si>
    <t xml:space="preserve">Industrial EV (DCF)</t>
  </si>
  <si>
    <t xml:space="preserve">Equity value - DCF SOTP</t>
  </si>
  <si>
    <t xml:space="preserve">Per share - DCF SOTP</t>
  </si>
  <si>
    <t xml:space="preserve">Implied P/E on FY2027E EPS</t>
  </si>
  <si>
    <t xml:space="preserve">Implied P/B on FY2027E book</t>
  </si>
  <si>
    <t xml:space="preserve">Harley-Davidson (HOG) - integrated model: BEAR CASE ($ millions unless noted)</t>
  </si>
  <si>
    <t xml:space="preserve">Harley-Davidson (HOG) - integrated model: BULL CASE ($ millions unless noted)</t>
  </si>
  <si>
    <t xml:space="preserve">Exhibit data for the memo (linked to Base model)</t>
  </si>
  <si>
    <t xml:space="preserve">Exhibit 1: Shipments vs. retail, YoY growth, and HDMC gross margin</t>
  </si>
  <si>
    <t xml:space="preserve">Shipments YoY</t>
  </si>
  <si>
    <t xml:space="preserve">Retail YoY (worldwide)</t>
  </si>
  <si>
    <t xml:space="preserve">Shipments - retail (units)</t>
  </si>
  <si>
    <t xml:space="preserve">Reported dealer inventory YoY</t>
  </si>
  <si>
    <t xml:space="preserve">HDMC revenue ($m)</t>
  </si>
  <si>
    <t xml:space="preserve">HDMC gross profit ($m)</t>
  </si>
  <si>
    <t xml:space="preserve">Exhibit 2: Operating leverage - HDMC gross profit vs. revenue (scatter), fitted line from Inputs</t>
  </si>
  <si>
    <t xml:space="preserve">Fitted contribution margin</t>
  </si>
  <si>
    <t xml:space="preserve">Fitted fixed cost per quarter ($m)</t>
  </si>
  <si>
    <t xml:space="preserve">R-squared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</si>
</sst>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;&quot;($&quot;#,##0.00\);\-"/>
    <numFmt numFmtId="166" formatCode="0.0%;\(0.0%\);\-"/>
    <numFmt numFmtId="167" formatCode="@"/>
    <numFmt numFmtId="168" formatCode="#,##0;\(#,##0\);\-"/>
    <numFmt numFmtId="169" formatCode="0.00"/>
    <numFmt numFmtId="170" formatCode="#,##0.0;\(#,##0.0\);\-"/>
    <numFmt numFmtId="171" formatCode="0.0\x"/>
    <numFmt numFmtId="172" formatCode="0"/>
    <numFmt numFmtId="173" formatCode="#,##0.00"/>
    <numFmt numFmtId="174" formatCode="\+0.0%;\-0.0%;0.0%"/>
    <numFmt numFmtId="175" formatCode="#,##0.0"/>
    <numFmt numFmtId="176" formatCode="\$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7030A0"/>
      <name val="Arial"/>
      <family val="0"/>
      <charset val="1"/>
    </font>
    <font>
      <sz val="10"/>
      <color rgb="FFFF0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18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n">
        <f aca="false">Valuation!C19</f>
        <v>26.95</v>
      </c>
    </row>
    <row r="7" customFormat="false" ht="15" hidden="false" customHeight="false" outlineLevel="0" collapsed="false">
      <c r="B7" s="4" t="s">
        <v>4</v>
      </c>
      <c r="C7" s="5" t="n">
        <f aca="false">Valuation!C20</f>
        <v>21.1103402579741</v>
      </c>
    </row>
    <row r="8" customFormat="false" ht="15" hidden="false" customHeight="false" outlineLevel="0" collapsed="false">
      <c r="B8" s="4" t="s">
        <v>5</v>
      </c>
      <c r="C8" s="6" t="n">
        <f aca="false">Valuation!C21</f>
        <v>0.216684962598362</v>
      </c>
    </row>
    <row r="9" customFormat="false" ht="15" hidden="false" customHeight="false" outlineLevel="0" collapsed="false">
      <c r="B9" s="4" t="s">
        <v>6</v>
      </c>
      <c r="C9" s="7" t="str">
        <f aca="false">TEXT(Valuation!C15,"$0.00")&amp;" / "&amp;TEXT(Valuation!D15,"$0.00")&amp;" / "&amp;TEXT(Valuation!E15,"$0.00")</f>
        <v>$12.43 / $18.78 / $43.12</v>
      </c>
    </row>
    <row r="10" customFormat="false" ht="15" hidden="false" customHeight="false" outlineLevel="0" collapsed="false">
      <c r="B10" s="4" t="s">
        <v>7</v>
      </c>
      <c r="C10" s="5" t="n">
        <f aca="false">Base!S43</f>
        <v>0.552904889952138</v>
      </c>
    </row>
    <row r="11" customFormat="false" ht="15" hidden="false" customHeight="false" outlineLevel="0" collapsed="false">
      <c r="B11" s="4" t="s">
        <v>8</v>
      </c>
      <c r="C11" s="5" t="n">
        <f aca="false">Base!T43</f>
        <v>0.798078003049061</v>
      </c>
    </row>
    <row r="12" customFormat="false" ht="15" hidden="false" customHeight="false" outlineLevel="0" collapsed="false">
      <c r="B12" s="4" t="s">
        <v>9</v>
      </c>
      <c r="C12" s="7" t="str">
        <f aca="false">Valuation!C29</f>
        <v>SHORT supported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8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9" t="s">
        <v>13</v>
      </c>
    </row>
    <row r="18" customFormat="false" ht="15" hidden="false" customHeight="false" outlineLevel="0" collapsed="false">
      <c r="B18" s="10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11" t="s">
        <v>16</v>
      </c>
    </row>
    <row r="22" customFormat="false" ht="15" hidden="false" customHeight="false" outlineLevel="0" collapsed="false">
      <c r="B22" s="11" t="s">
        <v>17</v>
      </c>
    </row>
    <row r="23" customFormat="false" ht="15" hidden="false" customHeight="false" outlineLevel="0" collapsed="false">
      <c r="B23" s="11" t="s">
        <v>18</v>
      </c>
    </row>
    <row r="24" customFormat="false" ht="15" hidden="false" customHeight="false" outlineLevel="0" collapsed="false">
      <c r="B24" s="11" t="s">
        <v>19</v>
      </c>
    </row>
    <row r="25" customFormat="false" ht="15" hidden="false" customHeight="false" outlineLevel="0" collapsed="false">
      <c r="B25" s="11" t="s">
        <v>20</v>
      </c>
    </row>
    <row r="26" customFormat="false" ht="15" hidden="false" customHeight="false" outlineLevel="0" collapsed="false">
      <c r="B26" s="11" t="s">
        <v>21</v>
      </c>
    </row>
    <row r="27" customFormat="false" ht="15" hidden="false" customHeight="false" outlineLevel="0" collapsed="false">
      <c r="B27" s="11" t="s">
        <v>22</v>
      </c>
    </row>
    <row r="28" customFormat="false" ht="15" hidden="false" customHeight="false" outlineLevel="0" collapsed="false">
      <c r="B28" s="11" t="s">
        <v>23</v>
      </c>
    </row>
    <row r="29" customFormat="false" ht="15" hidden="false" customHeight="false" outlineLevel="0" collapsed="false">
      <c r="B29" s="1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0" min="3" style="0" width="12"/>
  </cols>
  <sheetData>
    <row r="1" customFormat="false" ht="15" hidden="false" customHeight="false" outlineLevel="0" collapsed="false">
      <c r="A1" s="12" t="s">
        <v>25</v>
      </c>
    </row>
    <row r="2" customFormat="false" ht="15" hidden="false" customHeight="false" outlineLevel="0" collapsed="false">
      <c r="A2" s="13" t="s">
        <v>26</v>
      </c>
    </row>
    <row r="4" customFormat="false" ht="15" hidden="false" customHeight="false" outlineLevel="0" collapsed="false">
      <c r="A4" s="14" t="s">
        <v>27</v>
      </c>
      <c r="B4" s="14" t="s">
        <v>28</v>
      </c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  <c r="H4" s="15" t="s">
        <v>34</v>
      </c>
      <c r="I4" s="15" t="s">
        <v>35</v>
      </c>
      <c r="J4" s="15" t="s">
        <v>36</v>
      </c>
    </row>
    <row r="5" customFormat="false" ht="15" hidden="false" customHeight="false" outlineLevel="0" collapsed="false">
      <c r="A5" s="16" t="s">
        <v>37</v>
      </c>
      <c r="B5" s="17"/>
      <c r="C5" s="17"/>
      <c r="D5" s="17"/>
      <c r="E5" s="17"/>
      <c r="F5" s="17"/>
      <c r="G5" s="17"/>
      <c r="H5" s="17"/>
      <c r="I5" s="17"/>
      <c r="J5" s="17"/>
    </row>
    <row r="6" customFormat="false" ht="15" hidden="false" customHeight="false" outlineLevel="0" collapsed="false">
      <c r="A6" s="4" t="s">
        <v>38</v>
      </c>
      <c r="B6" s="13" t="s">
        <v>39</v>
      </c>
      <c r="C6" s="18" t="n">
        <v>615628</v>
      </c>
      <c r="D6" s="18" t="n">
        <v>231470</v>
      </c>
      <c r="E6" s="18" t="n">
        <v>863863</v>
      </c>
      <c r="F6" s="18" t="n">
        <v>778051</v>
      </c>
      <c r="G6" s="18" t="n">
        <v>821864</v>
      </c>
      <c r="H6" s="18" t="n">
        <v>193882</v>
      </c>
      <c r="I6" s="18" t="n">
        <v>836294</v>
      </c>
      <c r="J6" s="18" t="n">
        <v>848057</v>
      </c>
    </row>
    <row r="7" customFormat="false" ht="15" hidden="false" customHeight="false" outlineLevel="0" collapsed="false">
      <c r="A7" s="4" t="s">
        <v>40</v>
      </c>
      <c r="B7" s="13" t="s">
        <v>39</v>
      </c>
      <c r="C7" s="18" t="n">
        <v>174301</v>
      </c>
      <c r="D7" s="18" t="n">
        <v>117605</v>
      </c>
      <c r="E7" s="18" t="n">
        <v>143433</v>
      </c>
      <c r="F7" s="18" t="n">
        <v>186874</v>
      </c>
      <c r="G7" s="18" t="n">
        <v>167252</v>
      </c>
      <c r="H7" s="18" t="n">
        <v>116513</v>
      </c>
      <c r="I7" s="18" t="n">
        <v>142243</v>
      </c>
      <c r="J7" s="18" t="n">
        <v>176950</v>
      </c>
    </row>
    <row r="8" customFormat="false" ht="15" hidden="false" customHeight="false" outlineLevel="0" collapsed="false">
      <c r="A8" s="4" t="s">
        <v>41</v>
      </c>
      <c r="B8" s="13" t="s">
        <v>39</v>
      </c>
      <c r="C8" s="18" t="n">
        <v>55688</v>
      </c>
      <c r="D8" s="18" t="n">
        <v>54078</v>
      </c>
      <c r="E8" s="18" t="n">
        <v>57322</v>
      </c>
      <c r="F8" s="18" t="n">
        <v>55240</v>
      </c>
      <c r="G8" s="18" t="n">
        <v>56052</v>
      </c>
      <c r="H8" s="18" t="n">
        <v>47169</v>
      </c>
      <c r="I8" s="18" t="n">
        <v>57313</v>
      </c>
      <c r="J8" s="18" t="n">
        <v>56068</v>
      </c>
    </row>
    <row r="9" customFormat="false" ht="15" hidden="false" customHeight="false" outlineLevel="0" collapsed="false">
      <c r="A9" s="4" t="s">
        <v>42</v>
      </c>
      <c r="B9" s="13" t="s">
        <v>39</v>
      </c>
      <c r="C9" s="18" t="n">
        <v>3897</v>
      </c>
      <c r="D9" s="18" t="n">
        <v>4436</v>
      </c>
      <c r="E9" s="18" t="n">
        <v>3058</v>
      </c>
      <c r="F9" s="18" t="n">
        <v>5944</v>
      </c>
      <c r="G9" s="18" t="n">
        <v>5547</v>
      </c>
      <c r="H9" s="18" t="n">
        <v>7124</v>
      </c>
      <c r="I9" s="18" t="n">
        <v>6048</v>
      </c>
      <c r="J9" s="18" t="n">
        <v>6298</v>
      </c>
    </row>
    <row r="10" customFormat="false" ht="15" hidden="false" customHeight="false" outlineLevel="0" collapsed="false">
      <c r="A10" s="4" t="s">
        <v>43</v>
      </c>
      <c r="B10" s="13" t="s">
        <v>39</v>
      </c>
      <c r="C10" s="18" t="n">
        <v>26891</v>
      </c>
      <c r="D10" s="18" t="n">
        <v>12900</v>
      </c>
      <c r="E10" s="18" t="n">
        <v>13829</v>
      </c>
      <c r="F10" s="18" t="n">
        <v>17540</v>
      </c>
      <c r="G10" s="18" t="n">
        <v>23244</v>
      </c>
      <c r="H10" s="18" t="n">
        <v>14507</v>
      </c>
      <c r="I10" s="18" t="n">
        <v>13573</v>
      </c>
      <c r="J10" s="18" t="n">
        <v>16907</v>
      </c>
    </row>
    <row r="11" customFormat="false" ht="15" hidden="false" customHeight="false" outlineLevel="0" collapsed="false">
      <c r="A11" s="4" t="s">
        <v>44</v>
      </c>
      <c r="B11" s="13" t="s">
        <v>39</v>
      </c>
      <c r="C11" s="18" t="n">
        <v>263813</v>
      </c>
      <c r="D11" s="18" t="n">
        <v>-3170</v>
      </c>
      <c r="E11" s="18" t="n">
        <v>315244</v>
      </c>
      <c r="F11" s="18" t="n">
        <v>298705</v>
      </c>
      <c r="G11" s="18" t="n">
        <v>283110</v>
      </c>
      <c r="H11" s="18" t="n">
        <v>-30467</v>
      </c>
      <c r="I11" s="18" t="n">
        <v>266989</v>
      </c>
      <c r="J11" s="18" t="n">
        <v>304126</v>
      </c>
    </row>
    <row r="12" customFormat="false" ht="15" hidden="false" customHeight="false" outlineLevel="0" collapsed="false">
      <c r="A12" s="4" t="s">
        <v>45</v>
      </c>
      <c r="B12" s="13" t="s">
        <v>39</v>
      </c>
      <c r="C12" s="18" t="n">
        <v>208676</v>
      </c>
      <c r="D12" s="18" t="n">
        <v>210472</v>
      </c>
      <c r="E12" s="18" t="n">
        <v>198972</v>
      </c>
      <c r="F12" s="18" t="n">
        <v>237389</v>
      </c>
      <c r="G12" s="18" t="n">
        <v>228991</v>
      </c>
      <c r="H12" s="18" t="n">
        <v>229970</v>
      </c>
      <c r="I12" s="18" t="n">
        <v>248064</v>
      </c>
      <c r="J12" s="18" t="n">
        <v>231788</v>
      </c>
    </row>
    <row r="13" customFormat="false" ht="15" hidden="false" customHeight="false" outlineLevel="0" collapsed="false">
      <c r="A13" s="4" t="s">
        <v>46</v>
      </c>
      <c r="B13" s="13" t="s">
        <v>39</v>
      </c>
      <c r="C13" s="18" t="n">
        <v>4808</v>
      </c>
      <c r="D13" s="18" t="n">
        <v>10400</v>
      </c>
      <c r="E13" s="18" t="n">
        <v>2743</v>
      </c>
      <c r="F13" s="18" t="n">
        <v>6011</v>
      </c>
      <c r="G13" s="18" t="n">
        <v>5563</v>
      </c>
      <c r="H13" s="18" t="n">
        <v>11354</v>
      </c>
      <c r="I13" s="18" t="n">
        <v>5116</v>
      </c>
      <c r="J13" s="18" t="n">
        <v>9114</v>
      </c>
    </row>
    <row r="14" customFormat="false" ht="15" hidden="false" customHeight="false" outlineLevel="0" collapsed="false">
      <c r="A14" s="4" t="s">
        <v>47</v>
      </c>
      <c r="B14" s="13" t="s">
        <v>39</v>
      </c>
      <c r="C14" s="18" t="n">
        <v>-1180</v>
      </c>
      <c r="D14" s="18" t="n">
        <v>-5608</v>
      </c>
      <c r="E14" s="18" t="n">
        <v>-1781</v>
      </c>
      <c r="F14" s="18" t="n">
        <v>162</v>
      </c>
      <c r="G14" s="18" t="n">
        <v>-2271</v>
      </c>
      <c r="H14" s="18" t="n">
        <v>-545</v>
      </c>
      <c r="I14" s="18" t="n">
        <v>-535</v>
      </c>
      <c r="J14" s="18" t="n">
        <v>-48</v>
      </c>
    </row>
    <row r="15" customFormat="false" ht="15" hidden="false" customHeight="false" outlineLevel="0" collapsed="false">
      <c r="A15" s="4" t="s">
        <v>48</v>
      </c>
      <c r="B15" s="13" t="s">
        <v>39</v>
      </c>
      <c r="C15" s="18" t="n">
        <v>24905</v>
      </c>
      <c r="D15" s="18" t="n">
        <v>20538</v>
      </c>
      <c r="E15" s="18" t="n">
        <v>18028</v>
      </c>
      <c r="F15" s="18" t="n">
        <v>18815</v>
      </c>
      <c r="G15" s="18" t="n">
        <v>15910</v>
      </c>
      <c r="H15" s="18" t="n">
        <v>17829</v>
      </c>
      <c r="I15" s="18" t="n">
        <v>17136</v>
      </c>
      <c r="J15" s="18" t="n">
        <v>17879</v>
      </c>
    </row>
    <row r="16" customFormat="false" ht="15" hidden="false" customHeight="false" outlineLevel="0" collapsed="false">
      <c r="A16" s="4" t="s">
        <v>49</v>
      </c>
      <c r="B16" s="13" t="s">
        <v>39</v>
      </c>
      <c r="C16" s="18" t="n">
        <v>269482</v>
      </c>
      <c r="D16" s="18" t="n">
        <v>256720</v>
      </c>
      <c r="E16" s="18" t="n">
        <v>244961</v>
      </c>
      <c r="F16" s="18" t="n">
        <v>257438</v>
      </c>
      <c r="G16" s="18" t="n">
        <v>261188</v>
      </c>
      <c r="H16" s="18" t="n">
        <v>105609</v>
      </c>
      <c r="I16" s="18" t="n">
        <v>111944</v>
      </c>
      <c r="J16" s="18" t="n">
        <v>117043</v>
      </c>
    </row>
    <row r="17" customFormat="false" ht="15" hidden="false" customHeight="false" outlineLevel="0" collapsed="false">
      <c r="A17" s="4" t="s">
        <v>50</v>
      </c>
      <c r="B17" s="13" t="s">
        <v>39</v>
      </c>
      <c r="C17" s="18" t="n">
        <v>76744</v>
      </c>
      <c r="D17" s="18" t="n">
        <v>46440</v>
      </c>
      <c r="E17" s="18" t="n">
        <v>64036</v>
      </c>
      <c r="F17" s="18" t="n">
        <v>69773</v>
      </c>
      <c r="G17" s="18" t="n">
        <v>438820</v>
      </c>
      <c r="H17" s="18" t="n">
        <v>-82247</v>
      </c>
      <c r="I17" s="18" t="n">
        <v>22240</v>
      </c>
      <c r="J17" s="18" t="n">
        <v>21599</v>
      </c>
    </row>
    <row r="18" customFormat="false" ht="15" hidden="false" customHeight="false" outlineLevel="0" collapsed="false">
      <c r="A18" s="4" t="s">
        <v>51</v>
      </c>
      <c r="B18" s="13" t="s">
        <v>39</v>
      </c>
      <c r="C18" s="18" t="n">
        <v>18408</v>
      </c>
      <c r="D18" s="18" t="n">
        <v>17445</v>
      </c>
      <c r="E18" s="18" t="n">
        <v>16273</v>
      </c>
      <c r="F18" s="18" t="n">
        <v>14477</v>
      </c>
      <c r="G18" s="18" t="n">
        <v>14706</v>
      </c>
      <c r="H18" s="18" t="n">
        <v>15814</v>
      </c>
      <c r="I18" s="18" t="n">
        <v>13477</v>
      </c>
      <c r="J18" s="18" t="n">
        <v>11047</v>
      </c>
    </row>
    <row r="19" customFormat="false" ht="15" hidden="false" customHeight="false" outlineLevel="0" collapsed="false">
      <c r="A19" s="4" t="s">
        <v>52</v>
      </c>
      <c r="B19" s="13" t="s">
        <v>39</v>
      </c>
      <c r="C19" s="18" t="n">
        <v>16450</v>
      </c>
      <c r="D19" s="18" t="n">
        <v>13300</v>
      </c>
      <c r="E19" s="18" t="n">
        <v>8941</v>
      </c>
      <c r="F19" s="18" t="n">
        <v>10950</v>
      </c>
      <c r="G19" s="18" t="n">
        <v>12267</v>
      </c>
      <c r="H19" s="18" t="n">
        <v>12112</v>
      </c>
      <c r="I19" s="18" t="n">
        <v>8696</v>
      </c>
      <c r="J19" s="18" t="n">
        <v>11840</v>
      </c>
    </row>
    <row r="20" customFormat="false" ht="15" hidden="false" customHeight="false" outlineLevel="0" collapsed="false">
      <c r="A20" s="4" t="s">
        <v>53</v>
      </c>
      <c r="B20" s="13" t="s">
        <v>39</v>
      </c>
      <c r="C20" s="18" t="n">
        <v>7707</v>
      </c>
      <c r="D20" s="18" t="n">
        <v>7683</v>
      </c>
      <c r="E20" s="18" t="n">
        <v>7686</v>
      </c>
      <c r="F20" s="18" t="n">
        <v>7696</v>
      </c>
      <c r="G20" s="18" t="n">
        <v>10182</v>
      </c>
      <c r="H20" s="18" t="n">
        <v>7880</v>
      </c>
      <c r="I20" s="18" t="n">
        <v>3570</v>
      </c>
      <c r="J20" s="18" t="n">
        <v>3622</v>
      </c>
    </row>
    <row r="21" customFormat="false" ht="15" hidden="false" customHeight="false" outlineLevel="0" collapsed="false">
      <c r="A21" s="4" t="s">
        <v>54</v>
      </c>
      <c r="B21" s="13" t="s">
        <v>39</v>
      </c>
      <c r="C21" s="18" t="n">
        <v>16980</v>
      </c>
      <c r="D21" s="18" t="n">
        <v>-51857</v>
      </c>
      <c r="E21" s="18" t="n">
        <v>47230</v>
      </c>
      <c r="F21" s="18" t="n">
        <v>24422</v>
      </c>
      <c r="G21" s="18" t="n">
        <v>116384</v>
      </c>
      <c r="H21" s="18" t="n">
        <v>-58459</v>
      </c>
      <c r="I21" s="18" t="n">
        <v>17974</v>
      </c>
      <c r="J21" s="18" t="n">
        <v>16294</v>
      </c>
    </row>
    <row r="22" customFormat="false" ht="15" hidden="false" customHeight="false" outlineLevel="0" collapsed="false">
      <c r="A22" s="4" t="s">
        <v>55</v>
      </c>
      <c r="B22" s="13" t="s">
        <v>39</v>
      </c>
      <c r="C22" s="18" t="n">
        <v>3073</v>
      </c>
      <c r="D22" s="18" t="n">
        <v>1538</v>
      </c>
      <c r="E22" s="18" t="n">
        <v>2307</v>
      </c>
      <c r="F22" s="18" t="n">
        <v>1824</v>
      </c>
      <c r="G22" s="18" t="n">
        <v>2201</v>
      </c>
      <c r="H22" s="18" t="n">
        <v>3252</v>
      </c>
      <c r="I22" s="18" t="n">
        <v>650</v>
      </c>
      <c r="J22" s="18" t="n">
        <v>824</v>
      </c>
    </row>
    <row r="23" customFormat="false" ht="15" hidden="false" customHeight="false" outlineLevel="0" collapsed="false">
      <c r="A23" s="4" t="s">
        <v>56</v>
      </c>
      <c r="B23" s="13" t="s">
        <v>57</v>
      </c>
      <c r="C23" s="18" t="n">
        <v>130963</v>
      </c>
      <c r="D23" s="18" t="n">
        <v>126264</v>
      </c>
      <c r="E23" s="18" t="n">
        <v>124724</v>
      </c>
      <c r="F23" s="18" t="n">
        <v>122203</v>
      </c>
      <c r="G23" s="18" t="n">
        <v>121676</v>
      </c>
      <c r="H23" s="18" t="n">
        <v>114311</v>
      </c>
      <c r="I23" s="18" t="n">
        <v>110768</v>
      </c>
      <c r="J23" s="18" t="n">
        <v>108568</v>
      </c>
    </row>
    <row r="24" customFormat="false" ht="15" hidden="false" customHeight="false" outlineLevel="0" collapsed="false">
      <c r="A24" s="4" t="s">
        <v>58</v>
      </c>
      <c r="B24" s="13" t="s">
        <v>59</v>
      </c>
      <c r="C24" s="19" t="n">
        <v>0.91</v>
      </c>
      <c r="D24" s="19" t="n">
        <v>-0.93</v>
      </c>
      <c r="E24" s="19" t="n">
        <v>1.07</v>
      </c>
      <c r="F24" s="19" t="n">
        <v>0.88</v>
      </c>
      <c r="G24" s="19" t="n">
        <v>3.1</v>
      </c>
      <c r="H24" s="19" t="n">
        <v>-2.44</v>
      </c>
      <c r="I24" s="19" t="n">
        <v>0.22</v>
      </c>
      <c r="J24" s="19" t="n">
        <v>0.75</v>
      </c>
    </row>
    <row r="25" customFormat="false" ht="15" hidden="false" customHeight="false" outlineLevel="0" collapsed="false">
      <c r="A25" s="4" t="s">
        <v>60</v>
      </c>
      <c r="B25" s="13" t="s">
        <v>59</v>
      </c>
      <c r="C25" s="19" t="n">
        <v>0.1725</v>
      </c>
      <c r="D25" s="19" t="n">
        <v>0.1725</v>
      </c>
      <c r="E25" s="19" t="n">
        <v>0.18</v>
      </c>
      <c r="F25" s="19" t="n">
        <v>0.18</v>
      </c>
      <c r="G25" s="19" t="n">
        <v>0.18</v>
      </c>
      <c r="H25" s="19" t="n">
        <v>0.18</v>
      </c>
      <c r="I25" s="19" t="n">
        <v>0.1875</v>
      </c>
      <c r="J25" s="19" t="n">
        <v>0.1875</v>
      </c>
    </row>
    <row r="26" customFormat="false" ht="15" hidden="false" customHeight="false" outlineLevel="0" collapsed="false">
      <c r="A26" s="16" t="s">
        <v>61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4" t="s">
        <v>62</v>
      </c>
      <c r="B27" s="13" t="s">
        <v>63</v>
      </c>
      <c r="C27" s="18" t="n">
        <v>27520</v>
      </c>
      <c r="D27" s="18" t="n">
        <v>14010</v>
      </c>
      <c r="E27" s="18" t="n">
        <v>38601</v>
      </c>
      <c r="F27" s="18" t="n">
        <v>35837</v>
      </c>
      <c r="G27" s="18" t="n">
        <v>36524</v>
      </c>
      <c r="H27" s="18" t="n">
        <v>13515</v>
      </c>
      <c r="I27" s="18" t="n">
        <v>37295</v>
      </c>
      <c r="J27" s="18" t="n">
        <v>39209</v>
      </c>
    </row>
    <row r="28" customFormat="false" ht="15" hidden="false" customHeight="false" outlineLevel="0" collapsed="false">
      <c r="A28" s="4" t="s">
        <v>64</v>
      </c>
      <c r="B28" s="13" t="s">
        <v>63</v>
      </c>
      <c r="C28" s="18" t="n">
        <v>15493</v>
      </c>
      <c r="D28" s="18" t="n">
        <v>5563</v>
      </c>
      <c r="E28" s="18" t="n">
        <v>23678</v>
      </c>
      <c r="F28" s="18" t="n">
        <v>18080</v>
      </c>
      <c r="G28" s="18" t="n">
        <v>22035</v>
      </c>
      <c r="H28" s="18" t="n">
        <v>5459</v>
      </c>
      <c r="I28" s="18" t="n">
        <v>21520</v>
      </c>
      <c r="J28" s="18" t="n">
        <v>19641</v>
      </c>
    </row>
    <row r="29" customFormat="false" ht="15" hidden="false" customHeight="false" outlineLevel="0" collapsed="false">
      <c r="A29" s="4" t="s">
        <v>65</v>
      </c>
      <c r="B29" s="13" t="s">
        <v>63</v>
      </c>
      <c r="C29" s="18" t="n">
        <v>9610</v>
      </c>
      <c r="D29" s="18" t="n">
        <v>6524</v>
      </c>
      <c r="E29" s="18" t="n">
        <v>11860</v>
      </c>
      <c r="F29" s="18" t="n">
        <v>13110</v>
      </c>
      <c r="G29" s="18" t="n">
        <v>10551</v>
      </c>
      <c r="H29" s="18" t="n">
        <v>5651</v>
      </c>
      <c r="I29" s="18" t="n">
        <v>10659</v>
      </c>
      <c r="J29" s="18" t="n">
        <v>13550</v>
      </c>
    </row>
    <row r="30" customFormat="false" ht="15" hidden="false" customHeight="false" outlineLevel="0" collapsed="false">
      <c r="A30" s="4" t="s">
        <v>66</v>
      </c>
      <c r="B30" s="13" t="s">
        <v>63</v>
      </c>
      <c r="C30" s="18" t="n">
        <v>1770</v>
      </c>
      <c r="D30" s="18" t="n">
        <v>1508</v>
      </c>
      <c r="E30" s="18" t="n">
        <v>2108</v>
      </c>
      <c r="F30" s="18" t="n">
        <v>3188</v>
      </c>
      <c r="G30" s="18" t="n">
        <v>2628</v>
      </c>
      <c r="H30" s="18" t="n">
        <v>1714</v>
      </c>
      <c r="I30" s="18" t="n">
        <v>3731</v>
      </c>
      <c r="J30" s="18" t="n">
        <v>4617</v>
      </c>
    </row>
    <row r="31" customFormat="false" ht="15" hidden="false" customHeight="false" outlineLevel="0" collapsed="false">
      <c r="A31" s="4" t="s">
        <v>67</v>
      </c>
      <c r="B31" s="13" t="s">
        <v>63</v>
      </c>
      <c r="C31" s="18" t="n">
        <v>647</v>
      </c>
      <c r="D31" s="18" t="n">
        <v>415</v>
      </c>
      <c r="E31" s="18" t="n">
        <v>955</v>
      </c>
      <c r="F31" s="18" t="n">
        <v>1459</v>
      </c>
      <c r="G31" s="18" t="n">
        <v>1310</v>
      </c>
      <c r="H31" s="18" t="n">
        <v>691</v>
      </c>
      <c r="I31" s="18" t="n">
        <v>1385</v>
      </c>
      <c r="J31" s="18" t="n">
        <v>1401</v>
      </c>
    </row>
    <row r="32" customFormat="false" ht="15" hidden="false" customHeight="false" outlineLevel="0" collapsed="false">
      <c r="A32" s="4" t="s">
        <v>68</v>
      </c>
      <c r="B32" s="13" t="s">
        <v>63</v>
      </c>
      <c r="C32" s="18" t="n">
        <v>24573</v>
      </c>
      <c r="D32" s="18" t="n">
        <v>15127</v>
      </c>
      <c r="E32" s="18" t="n">
        <v>20892</v>
      </c>
      <c r="F32" s="18" t="n">
        <v>28931</v>
      </c>
      <c r="G32" s="18" t="n">
        <v>23462</v>
      </c>
      <c r="H32" s="18" t="n">
        <v>15847</v>
      </c>
      <c r="I32" s="18" t="n">
        <v>23803</v>
      </c>
      <c r="J32" s="18" t="n">
        <v>29751</v>
      </c>
    </row>
    <row r="33" customFormat="false" ht="15" hidden="false" customHeight="false" outlineLevel="0" collapsed="false">
      <c r="A33" s="4" t="s">
        <v>69</v>
      </c>
      <c r="B33" s="13" t="s">
        <v>63</v>
      </c>
      <c r="C33" s="18" t="n">
        <v>6054</v>
      </c>
      <c r="D33" s="18" t="n">
        <v>4749</v>
      </c>
      <c r="E33" s="18" t="n">
        <v>5175</v>
      </c>
      <c r="F33" s="18" t="n">
        <v>7621</v>
      </c>
      <c r="G33" s="18" t="n">
        <v>5033</v>
      </c>
      <c r="H33" s="18" t="n">
        <v>3625</v>
      </c>
      <c r="I33" s="18" t="n">
        <v>5034</v>
      </c>
      <c r="J33" s="18" t="n">
        <v>6959</v>
      </c>
    </row>
    <row r="34" customFormat="false" ht="15" hidden="false" customHeight="false" outlineLevel="0" collapsed="false">
      <c r="A34" s="4" t="s">
        <v>70</v>
      </c>
      <c r="B34" s="13" t="s">
        <v>63</v>
      </c>
      <c r="C34" s="18" t="n">
        <v>4832</v>
      </c>
      <c r="D34" s="18" t="n">
        <v>5025</v>
      </c>
      <c r="E34" s="18" t="n">
        <v>4362</v>
      </c>
      <c r="F34" s="18" t="n">
        <v>4967</v>
      </c>
      <c r="G34" s="18" t="n">
        <v>4667</v>
      </c>
      <c r="H34" s="18" t="n">
        <v>4979</v>
      </c>
      <c r="I34" s="18" t="n">
        <v>3967</v>
      </c>
      <c r="J34" s="18" t="n">
        <v>4990</v>
      </c>
    </row>
    <row r="35" customFormat="false" ht="15" hidden="false" customHeight="false" outlineLevel="0" collapsed="false">
      <c r="A35" s="4" t="s">
        <v>71</v>
      </c>
      <c r="B35" s="13" t="s">
        <v>63</v>
      </c>
      <c r="C35" s="18" t="n">
        <v>707</v>
      </c>
      <c r="D35" s="18" t="n">
        <v>759</v>
      </c>
      <c r="E35" s="18" t="n">
        <v>581</v>
      </c>
      <c r="F35" s="18" t="n">
        <v>735</v>
      </c>
      <c r="G35" s="18" t="n">
        <v>822</v>
      </c>
      <c r="H35" s="18" t="n">
        <v>836</v>
      </c>
      <c r="I35" s="18" t="n">
        <v>703</v>
      </c>
      <c r="J35" s="18" t="n">
        <v>767</v>
      </c>
    </row>
    <row r="36" customFormat="false" ht="15" hidden="false" customHeight="false" outlineLevel="0" collapsed="false">
      <c r="A36" s="4" t="s">
        <v>72</v>
      </c>
      <c r="B36" s="13" t="s">
        <v>73</v>
      </c>
      <c r="C36" s="20"/>
      <c r="D36" s="20"/>
      <c r="E36" s="20"/>
      <c r="F36" s="20"/>
      <c r="G36" s="20" t="n">
        <v>-0.13</v>
      </c>
      <c r="H36" s="20" t="n">
        <v>-0.17</v>
      </c>
      <c r="I36" s="20" t="n">
        <v>-0.22</v>
      </c>
      <c r="J36" s="20" t="n">
        <v>-0.17</v>
      </c>
    </row>
    <row r="37" customFormat="false" ht="15" hidden="false" customHeight="false" outlineLevel="0" collapsed="false">
      <c r="A37" s="16" t="s">
        <v>74</v>
      </c>
      <c r="B37" s="17"/>
      <c r="C37" s="17"/>
      <c r="D37" s="17"/>
      <c r="E37" s="17"/>
      <c r="F37" s="17"/>
      <c r="G37" s="17"/>
      <c r="H37" s="17"/>
      <c r="I37" s="17"/>
      <c r="J37" s="17"/>
    </row>
    <row r="38" customFormat="false" ht="15" hidden="false" customHeight="false" outlineLevel="0" collapsed="false">
      <c r="A38" s="4" t="s">
        <v>75</v>
      </c>
      <c r="B38" s="13" t="s">
        <v>39</v>
      </c>
      <c r="C38" s="18" t="n">
        <v>2243910</v>
      </c>
      <c r="D38" s="18" t="n">
        <v>1589608</v>
      </c>
      <c r="E38" s="18" t="n">
        <v>1931175</v>
      </c>
      <c r="F38" s="18" t="n">
        <v>1587664</v>
      </c>
      <c r="G38" s="18" t="n">
        <v>1775038</v>
      </c>
      <c r="H38" s="18" t="n">
        <v>3091744</v>
      </c>
      <c r="I38" s="18" t="n">
        <v>1805068</v>
      </c>
      <c r="J38" s="18" t="n">
        <v>1895789</v>
      </c>
    </row>
    <row r="39" customFormat="false" ht="15" hidden="false" customHeight="false" outlineLevel="0" collapsed="false">
      <c r="A39" s="4" t="s">
        <v>76</v>
      </c>
      <c r="B39" s="13" t="s">
        <v>39</v>
      </c>
      <c r="C39" s="18" t="n">
        <v>147910</v>
      </c>
      <c r="D39" s="18" t="n">
        <v>135661</v>
      </c>
      <c r="E39" s="18" t="n">
        <v>150132</v>
      </c>
      <c r="F39" s="18" t="n">
        <v>149782</v>
      </c>
      <c r="G39" s="18" t="n">
        <v>51530</v>
      </c>
      <c r="H39" s="18" t="n">
        <v>0</v>
      </c>
      <c r="I39" s="18" t="n">
        <v>0</v>
      </c>
      <c r="J39" s="18" t="n">
        <v>0</v>
      </c>
    </row>
    <row r="40" customFormat="false" ht="15" hidden="false" customHeight="false" outlineLevel="0" collapsed="false">
      <c r="A40" s="4" t="s">
        <v>77</v>
      </c>
      <c r="B40" s="13" t="s">
        <v>39</v>
      </c>
      <c r="C40" s="18" t="n">
        <v>307701</v>
      </c>
      <c r="D40" s="18" t="n">
        <v>234315</v>
      </c>
      <c r="E40" s="18" t="n">
        <v>313334</v>
      </c>
      <c r="F40" s="18" t="n">
        <v>325756</v>
      </c>
      <c r="G40" s="18" t="n">
        <v>305010</v>
      </c>
      <c r="H40" s="18" t="n">
        <v>225760</v>
      </c>
      <c r="I40" s="18" t="n">
        <v>285786</v>
      </c>
      <c r="J40" s="18" t="n">
        <v>301788</v>
      </c>
    </row>
    <row r="41" customFormat="false" ht="15" hidden="false" customHeight="false" outlineLevel="0" collapsed="false">
      <c r="A41" s="4" t="s">
        <v>78</v>
      </c>
      <c r="B41" s="13" t="s">
        <v>39</v>
      </c>
      <c r="C41" s="18" t="n">
        <v>0</v>
      </c>
      <c r="D41" s="18" t="n">
        <v>0</v>
      </c>
      <c r="E41" s="18" t="n">
        <v>0</v>
      </c>
      <c r="F41" s="18" t="n">
        <v>0</v>
      </c>
      <c r="G41" s="18" t="n">
        <v>4080885</v>
      </c>
      <c r="H41" s="18" t="n">
        <v>264238</v>
      </c>
      <c r="I41" s="18" t="n">
        <v>426792</v>
      </c>
      <c r="J41" s="18" t="n">
        <v>545761</v>
      </c>
    </row>
    <row r="42" customFormat="false" ht="15" hidden="false" customHeight="false" outlineLevel="0" collapsed="false">
      <c r="A42" s="4" t="s">
        <v>79</v>
      </c>
      <c r="B42" s="13" t="s">
        <v>39</v>
      </c>
      <c r="C42" s="18" t="n">
        <v>2300551</v>
      </c>
      <c r="D42" s="18" t="n">
        <v>2031496</v>
      </c>
      <c r="E42" s="18" t="n">
        <v>2286672</v>
      </c>
      <c r="F42" s="18" t="n">
        <v>2127866</v>
      </c>
      <c r="G42" s="18" t="n">
        <v>1221348</v>
      </c>
      <c r="H42" s="18" t="n">
        <v>981926</v>
      </c>
      <c r="I42" s="18" t="n">
        <v>1187550</v>
      </c>
      <c r="J42" s="18" t="n">
        <v>1094533</v>
      </c>
    </row>
    <row r="43" customFormat="false" ht="15" hidden="false" customHeight="false" outlineLevel="0" collapsed="false">
      <c r="A43" s="4" t="s">
        <v>80</v>
      </c>
      <c r="B43" s="13" t="s">
        <v>39</v>
      </c>
      <c r="C43" s="18" t="n">
        <v>681864</v>
      </c>
      <c r="D43" s="18" t="n">
        <v>745793</v>
      </c>
      <c r="E43" s="18" t="n">
        <v>712312</v>
      </c>
      <c r="F43" s="18" t="n">
        <v>630287</v>
      </c>
      <c r="G43" s="18" t="n">
        <v>512186</v>
      </c>
      <c r="H43" s="18" t="n">
        <v>730898</v>
      </c>
      <c r="I43" s="18" t="n">
        <v>622189</v>
      </c>
      <c r="J43" s="18" t="n">
        <v>500935</v>
      </c>
    </row>
    <row r="44" customFormat="false" ht="15" hidden="false" customHeight="false" outlineLevel="0" collapsed="false">
      <c r="A44" s="4" t="s">
        <v>81</v>
      </c>
      <c r="B44" s="13" t="s">
        <v>39</v>
      </c>
      <c r="C44" s="18" t="n">
        <v>208000</v>
      </c>
      <c r="D44" s="18" t="n">
        <v>259764</v>
      </c>
      <c r="E44" s="18" t="n">
        <v>253687</v>
      </c>
      <c r="F44" s="18" t="n">
        <v>327260</v>
      </c>
      <c r="G44" s="18" t="n">
        <v>297444</v>
      </c>
      <c r="H44" s="18" t="n">
        <v>292383</v>
      </c>
      <c r="I44" s="18" t="n">
        <v>415301</v>
      </c>
      <c r="J44" s="18" t="n">
        <v>250420</v>
      </c>
    </row>
    <row r="45" customFormat="false" ht="15" hidden="false" customHeight="false" outlineLevel="0" collapsed="false">
      <c r="A45" s="4" t="s">
        <v>82</v>
      </c>
      <c r="B45" s="13" t="s">
        <v>39</v>
      </c>
      <c r="C45" s="18" t="n">
        <v>5499836</v>
      </c>
      <c r="D45" s="18" t="n">
        <v>5256798</v>
      </c>
      <c r="E45" s="18" t="n">
        <v>5112935</v>
      </c>
      <c r="F45" s="18" t="n">
        <v>5198356</v>
      </c>
      <c r="G45" s="18" t="n">
        <v>662201</v>
      </c>
      <c r="H45" s="18" t="n">
        <v>719060</v>
      </c>
      <c r="I45" s="18" t="n">
        <v>827061</v>
      </c>
      <c r="J45" s="18" t="n">
        <v>1004886</v>
      </c>
    </row>
    <row r="46" customFormat="false" ht="15" hidden="false" customHeight="false" outlineLevel="0" collapsed="false">
      <c r="A46" s="4" t="s">
        <v>83</v>
      </c>
      <c r="B46" s="13" t="s">
        <v>39</v>
      </c>
      <c r="C46" s="18" t="n">
        <v>1636887</v>
      </c>
      <c r="D46" s="18" t="n">
        <v>1628144</v>
      </c>
      <c r="E46" s="18" t="n">
        <v>1622134</v>
      </c>
      <c r="F46" s="18" t="n">
        <v>1703474</v>
      </c>
      <c r="G46" s="18" t="n">
        <v>1660742</v>
      </c>
      <c r="H46" s="18" t="n">
        <v>1738806</v>
      </c>
      <c r="I46" s="18" t="n">
        <v>1675914</v>
      </c>
      <c r="J46" s="18" t="n">
        <v>1651753</v>
      </c>
    </row>
    <row r="47" customFormat="false" ht="15" hidden="false" customHeight="false" outlineLevel="0" collapsed="false">
      <c r="A47" s="4" t="s">
        <v>84</v>
      </c>
      <c r="B47" s="13" t="s">
        <v>39</v>
      </c>
      <c r="C47" s="18" t="n">
        <v>13026659</v>
      </c>
      <c r="D47" s="18" t="n">
        <v>11881579</v>
      </c>
      <c r="E47" s="18" t="n">
        <v>12382381</v>
      </c>
      <c r="F47" s="18" t="n">
        <v>12050445</v>
      </c>
      <c r="G47" s="18" t="n">
        <v>10566384</v>
      </c>
      <c r="H47" s="18" t="n">
        <v>8044815</v>
      </c>
      <c r="I47" s="18" t="n">
        <v>7245661</v>
      </c>
      <c r="J47" s="18" t="n">
        <v>7245865</v>
      </c>
    </row>
    <row r="48" customFormat="false" ht="15" hidden="false" customHeight="false" outlineLevel="0" collapsed="false">
      <c r="A48" s="4" t="s">
        <v>85</v>
      </c>
      <c r="B48" s="13" t="s">
        <v>39</v>
      </c>
      <c r="C48" s="18" t="n">
        <v>931971</v>
      </c>
      <c r="D48" s="18" t="n">
        <v>892678</v>
      </c>
      <c r="E48" s="18" t="n">
        <v>1105802</v>
      </c>
      <c r="F48" s="18" t="n">
        <v>1040616</v>
      </c>
      <c r="G48" s="18" t="n">
        <v>971411</v>
      </c>
      <c r="H48" s="18" t="n">
        <v>1061194</v>
      </c>
      <c r="I48" s="18" t="n">
        <v>1232554</v>
      </c>
      <c r="J48" s="18" t="n">
        <v>1033420</v>
      </c>
    </row>
    <row r="49" customFormat="false" ht="15" hidden="false" customHeight="false" outlineLevel="0" collapsed="false">
      <c r="A49" s="4" t="s">
        <v>86</v>
      </c>
      <c r="B49" s="13" t="s">
        <v>39</v>
      </c>
      <c r="C49" s="18" t="n">
        <v>178638</v>
      </c>
      <c r="D49" s="18" t="n">
        <v>173099</v>
      </c>
      <c r="E49" s="18" t="n">
        <v>178376</v>
      </c>
      <c r="F49" s="18" t="n">
        <v>243101</v>
      </c>
      <c r="G49" s="18" t="n">
        <v>292667</v>
      </c>
      <c r="H49" s="18" t="n">
        <v>280095</v>
      </c>
      <c r="I49" s="18" t="n">
        <v>248642</v>
      </c>
      <c r="J49" s="18" t="n">
        <v>266421</v>
      </c>
    </row>
    <row r="50" customFormat="false" ht="15" hidden="false" customHeight="false" outlineLevel="0" collapsed="false">
      <c r="A50" s="4" t="s">
        <v>87</v>
      </c>
      <c r="B50" s="13" t="s">
        <v>39</v>
      </c>
      <c r="C50" s="18" t="n">
        <v>497373</v>
      </c>
      <c r="D50" s="18" t="n">
        <v>640204</v>
      </c>
      <c r="E50" s="18" t="n">
        <v>498500</v>
      </c>
      <c r="F50" s="18" t="n">
        <v>503353</v>
      </c>
      <c r="G50" s="18" t="n">
        <v>684741</v>
      </c>
      <c r="H50" s="18" t="n">
        <v>497776</v>
      </c>
      <c r="I50" s="18" t="n">
        <v>498685</v>
      </c>
      <c r="J50" s="18" t="n">
        <v>613141</v>
      </c>
    </row>
    <row r="51" customFormat="false" ht="15" hidden="false" customHeight="false" outlineLevel="0" collapsed="false">
      <c r="A51" s="4" t="s">
        <v>88</v>
      </c>
      <c r="B51" s="13" t="s">
        <v>39</v>
      </c>
      <c r="C51" s="18" t="n">
        <v>2561535</v>
      </c>
      <c r="D51" s="18" t="n">
        <v>1851513</v>
      </c>
      <c r="E51" s="18" t="n">
        <v>1839100</v>
      </c>
      <c r="F51" s="18" t="n">
        <v>1983828</v>
      </c>
      <c r="G51" s="18" t="n">
        <v>1329244</v>
      </c>
      <c r="H51" s="18" t="n">
        <v>819629</v>
      </c>
      <c r="I51" s="18" t="n">
        <v>498246</v>
      </c>
      <c r="J51" s="18" t="n">
        <v>498466</v>
      </c>
    </row>
    <row r="52" customFormat="false" ht="15" hidden="false" customHeight="false" outlineLevel="0" collapsed="false">
      <c r="A52" s="4" t="s">
        <v>89</v>
      </c>
      <c r="B52" s="13" t="s">
        <v>39</v>
      </c>
      <c r="C52" s="18" t="n">
        <v>4739507</v>
      </c>
      <c r="D52" s="18" t="n">
        <v>4468665</v>
      </c>
      <c r="E52" s="18" t="n">
        <v>4963261</v>
      </c>
      <c r="F52" s="18" t="n">
        <v>4367553</v>
      </c>
      <c r="G52" s="18" t="n">
        <v>3147836</v>
      </c>
      <c r="H52" s="18" t="n">
        <v>1649612</v>
      </c>
      <c r="I52" s="18" t="n">
        <v>1134865</v>
      </c>
      <c r="J52" s="18" t="n">
        <v>1130847</v>
      </c>
    </row>
    <row r="53" customFormat="false" ht="15" hidden="false" customHeight="false" outlineLevel="0" collapsed="false">
      <c r="A53" s="4" t="s">
        <v>90</v>
      </c>
      <c r="B53" s="13" t="s">
        <v>39</v>
      </c>
      <c r="C53" s="18" t="n">
        <v>692523</v>
      </c>
      <c r="D53" s="18" t="n">
        <v>696920</v>
      </c>
      <c r="E53" s="18" t="n">
        <v>623652</v>
      </c>
      <c r="F53" s="18" t="n">
        <v>604061</v>
      </c>
      <c r="G53" s="18" t="n">
        <v>579106</v>
      </c>
      <c r="H53" s="18" t="n">
        <v>579659</v>
      </c>
      <c r="I53" s="18" t="n">
        <v>552534</v>
      </c>
      <c r="J53" s="18" t="n">
        <v>587551</v>
      </c>
    </row>
    <row r="54" customFormat="false" ht="15" hidden="false" customHeight="false" outlineLevel="0" collapsed="false">
      <c r="A54" s="4" t="s">
        <v>91</v>
      </c>
      <c r="B54" s="13" t="s">
        <v>39</v>
      </c>
      <c r="C54" s="18" t="n">
        <v>3425112</v>
      </c>
      <c r="D54" s="18" t="n">
        <v>3158500</v>
      </c>
      <c r="E54" s="18" t="n">
        <v>3173690</v>
      </c>
      <c r="F54" s="18" t="n">
        <v>3307933</v>
      </c>
      <c r="G54" s="18" t="n">
        <v>3561379</v>
      </c>
      <c r="H54" s="18" t="n">
        <v>3156850</v>
      </c>
      <c r="I54" s="18" t="n">
        <v>3080135</v>
      </c>
      <c r="J54" s="18" t="n">
        <v>3116019</v>
      </c>
    </row>
    <row r="55" customFormat="false" ht="15" hidden="false" customHeight="false" outlineLevel="0" collapsed="false">
      <c r="A55" s="16" t="s">
        <v>92</v>
      </c>
      <c r="B55" s="17"/>
      <c r="C55" s="17"/>
      <c r="D55" s="17"/>
      <c r="E55" s="17"/>
      <c r="F55" s="17"/>
      <c r="G55" s="17"/>
      <c r="H55" s="17"/>
      <c r="I55" s="17"/>
      <c r="J55" s="17"/>
    </row>
    <row r="56" customFormat="false" ht="15" hidden="false" customHeight="false" outlineLevel="0" collapsed="false">
      <c r="A56" s="4" t="s">
        <v>93</v>
      </c>
      <c r="B56" s="13" t="s">
        <v>39</v>
      </c>
      <c r="C56" s="18" t="n">
        <v>353013</v>
      </c>
      <c r="D56" s="18" t="n">
        <v>133178</v>
      </c>
      <c r="E56" s="18" t="n">
        <v>141534</v>
      </c>
      <c r="F56" s="18" t="n">
        <v>367958</v>
      </c>
      <c r="G56" s="18" t="n">
        <v>-92589</v>
      </c>
      <c r="H56" s="18" t="n">
        <v>152019</v>
      </c>
      <c r="I56" s="18" t="n">
        <v>-228021</v>
      </c>
      <c r="J56" s="18" t="n">
        <v>168336</v>
      </c>
    </row>
    <row r="57" customFormat="false" ht="15" hidden="false" customHeight="false" outlineLevel="0" collapsed="false">
      <c r="A57" s="4" t="s">
        <v>94</v>
      </c>
      <c r="B57" s="13" t="s">
        <v>39</v>
      </c>
      <c r="C57" s="18" t="n">
        <v>39190</v>
      </c>
      <c r="D57" s="18" t="n">
        <v>41110</v>
      </c>
      <c r="E57" s="18" t="n">
        <v>41700</v>
      </c>
      <c r="F57" s="18" t="n">
        <v>40430</v>
      </c>
      <c r="G57" s="18" t="n">
        <v>44210</v>
      </c>
      <c r="H57" s="18" t="n">
        <v>46030</v>
      </c>
      <c r="I57" s="18" t="n">
        <v>44140</v>
      </c>
      <c r="J57" s="18" t="n">
        <v>42560</v>
      </c>
    </row>
    <row r="58" customFormat="false" ht="15" hidden="false" customHeight="false" outlineLevel="0" collapsed="false">
      <c r="A58" s="4" t="s">
        <v>95</v>
      </c>
      <c r="B58" s="13" t="s">
        <v>39</v>
      </c>
      <c r="C58" s="18" t="n">
        <v>10830</v>
      </c>
      <c r="D58" s="18" t="n">
        <v>9190</v>
      </c>
      <c r="E58" s="18" t="n">
        <v>6820</v>
      </c>
      <c r="F58" s="18" t="n">
        <v>10590</v>
      </c>
      <c r="G58" s="18" t="n">
        <v>8430</v>
      </c>
      <c r="H58" s="18" t="n">
        <v>5910</v>
      </c>
      <c r="I58" s="18" t="n">
        <v>8540</v>
      </c>
      <c r="J58" s="18" t="n">
        <v>9490</v>
      </c>
    </row>
    <row r="59" customFormat="false" ht="15" hidden="false" customHeight="false" outlineLevel="0" collapsed="false">
      <c r="A59" s="4" t="s">
        <v>96</v>
      </c>
      <c r="B59" s="13" t="s">
        <v>39</v>
      </c>
      <c r="C59" s="18" t="n">
        <v>-52589</v>
      </c>
      <c r="D59" s="18" t="n">
        <v>-56139</v>
      </c>
      <c r="E59" s="18" t="n">
        <v>-29973</v>
      </c>
      <c r="F59" s="18" t="n">
        <v>-35587</v>
      </c>
      <c r="G59" s="18" t="n">
        <v>-36530</v>
      </c>
      <c r="H59" s="18" t="n">
        <v>-51589</v>
      </c>
      <c r="I59" s="18" t="n">
        <v>-31792</v>
      </c>
      <c r="J59" s="18" t="n">
        <v>-12902</v>
      </c>
    </row>
    <row r="60" customFormat="false" ht="15" hidden="false" customHeight="false" outlineLevel="0" collapsed="false">
      <c r="A60" s="4" t="s">
        <v>97</v>
      </c>
      <c r="B60" s="13" t="s">
        <v>39</v>
      </c>
      <c r="C60" s="18" t="n">
        <v>-89148</v>
      </c>
      <c r="D60" s="18" t="n">
        <v>102847</v>
      </c>
      <c r="E60" s="18" t="n">
        <v>61395</v>
      </c>
      <c r="F60" s="18" t="n">
        <v>-151249</v>
      </c>
      <c r="G60" s="18" t="n">
        <v>295331</v>
      </c>
      <c r="H60" s="18" t="n">
        <v>3573298</v>
      </c>
      <c r="I60" s="18" t="n">
        <v>-92004</v>
      </c>
      <c r="J60" s="18" t="n">
        <v>-174734</v>
      </c>
    </row>
    <row r="61" customFormat="false" ht="15" hidden="false" customHeight="false" outlineLevel="0" collapsed="false">
      <c r="A61" s="4" t="s">
        <v>98</v>
      </c>
      <c r="B61" s="13" t="s">
        <v>39</v>
      </c>
      <c r="C61" s="18" t="n">
        <v>-22095</v>
      </c>
      <c r="D61" s="18" t="n">
        <v>-21770</v>
      </c>
      <c r="E61" s="18" t="n">
        <v>-22921</v>
      </c>
      <c r="F61" s="18" t="n">
        <v>-21835</v>
      </c>
      <c r="G61" s="18" t="n">
        <v>-21532</v>
      </c>
      <c r="H61" s="18" t="n">
        <v>-20100</v>
      </c>
      <c r="I61" s="18" t="n">
        <v>-21540</v>
      </c>
      <c r="J61" s="18" t="n">
        <v>-19671</v>
      </c>
    </row>
    <row r="62" customFormat="false" ht="15" hidden="false" customHeight="false" outlineLevel="0" collapsed="false">
      <c r="A62" s="4" t="s">
        <v>99</v>
      </c>
      <c r="B62" s="13" t="s">
        <v>39</v>
      </c>
      <c r="C62" s="18" t="n">
        <v>-150135</v>
      </c>
      <c r="D62" s="18" t="n">
        <v>-100019</v>
      </c>
      <c r="E62" s="18" t="n">
        <v>-93095</v>
      </c>
      <c r="F62" s="18" t="n">
        <v>-45</v>
      </c>
      <c r="G62" s="18" t="n">
        <v>-100069</v>
      </c>
      <c r="H62" s="18" t="n">
        <v>-160061</v>
      </c>
      <c r="I62" s="18" t="n">
        <v>-70018</v>
      </c>
      <c r="J62" s="18" t="n">
        <v>-30370</v>
      </c>
    </row>
    <row r="63" customFormat="false" ht="15" hidden="false" customHeight="false" outlineLevel="0" collapsed="false">
      <c r="A63" s="4" t="s">
        <v>100</v>
      </c>
      <c r="B63" s="13" t="s">
        <v>39</v>
      </c>
      <c r="C63" s="18" t="n">
        <v>131462</v>
      </c>
      <c r="D63" s="18" t="n">
        <v>-885775</v>
      </c>
      <c r="E63" s="18" t="n">
        <v>150185</v>
      </c>
      <c r="F63" s="18" t="n">
        <v>-566704</v>
      </c>
      <c r="G63" s="18" t="n">
        <v>-131156</v>
      </c>
      <c r="H63" s="18" t="n">
        <v>-2462625</v>
      </c>
      <c r="I63" s="18" t="n">
        <v>-959337</v>
      </c>
      <c r="J63" s="18" t="n">
        <v>100433</v>
      </c>
    </row>
    <row r="64" customFormat="false" ht="15" hidden="false" customHeight="false" outlineLevel="0" collapsed="false">
      <c r="A64" s="4" t="s">
        <v>101</v>
      </c>
      <c r="B64" s="13" t="s">
        <v>39</v>
      </c>
      <c r="C64" s="18" t="n">
        <v>11019</v>
      </c>
      <c r="D64" s="18" t="n">
        <v>-16343</v>
      </c>
      <c r="E64" s="18" t="n">
        <v>3299</v>
      </c>
      <c r="F64" s="18" t="n">
        <v>9076</v>
      </c>
      <c r="G64" s="18" t="n">
        <v>-1366</v>
      </c>
      <c r="H64" s="18" t="n">
        <v>2484</v>
      </c>
      <c r="I64" s="18" t="n">
        <v>-7314</v>
      </c>
      <c r="J64" s="18" t="n">
        <v>-3314</v>
      </c>
    </row>
    <row r="66" customFormat="false" ht="15" hidden="false" customHeight="false" outlineLevel="0" collapsed="false">
      <c r="A66" s="3" t="s">
        <v>102</v>
      </c>
    </row>
    <row r="67" customFormat="false" ht="15" hidden="false" customHeight="false" outlineLevel="0" collapsed="false">
      <c r="A67" s="4" t="s">
        <v>29</v>
      </c>
      <c r="B67" s="11" t="s">
        <v>103</v>
      </c>
    </row>
    <row r="68" customFormat="false" ht="15" hidden="false" customHeight="false" outlineLevel="0" collapsed="false">
      <c r="A68" s="4" t="s">
        <v>30</v>
      </c>
      <c r="B68" s="11" t="s">
        <v>104</v>
      </c>
    </row>
    <row r="69" customFormat="false" ht="15" hidden="false" customHeight="false" outlineLevel="0" collapsed="false">
      <c r="A69" s="4" t="s">
        <v>31</v>
      </c>
      <c r="B69" s="11" t="s">
        <v>105</v>
      </c>
    </row>
    <row r="70" customFormat="false" ht="15" hidden="false" customHeight="false" outlineLevel="0" collapsed="false">
      <c r="A70" s="4" t="s">
        <v>32</v>
      </c>
      <c r="B70" s="11" t="s">
        <v>106</v>
      </c>
    </row>
    <row r="71" customFormat="false" ht="15" hidden="false" customHeight="false" outlineLevel="0" collapsed="false">
      <c r="A71" s="4" t="s">
        <v>33</v>
      </c>
      <c r="B71" s="11" t="s">
        <v>107</v>
      </c>
    </row>
    <row r="72" customFormat="false" ht="15" hidden="false" customHeight="false" outlineLevel="0" collapsed="false">
      <c r="A72" s="4" t="s">
        <v>34</v>
      </c>
      <c r="B72" s="11" t="s">
        <v>108</v>
      </c>
    </row>
    <row r="73" customFormat="false" ht="15" hidden="false" customHeight="false" outlineLevel="0" collapsed="false">
      <c r="A73" s="4" t="s">
        <v>35</v>
      </c>
      <c r="B73" s="11" t="s">
        <v>109</v>
      </c>
    </row>
    <row r="74" customFormat="false" ht="15" hidden="false" customHeight="false" outlineLevel="0" collapsed="false">
      <c r="A74" s="4" t="s">
        <v>36</v>
      </c>
      <c r="B74" s="11" t="s">
        <v>110</v>
      </c>
    </row>
    <row r="75" customFormat="false" ht="15" hidden="false" customHeight="false" outlineLevel="0" collapsed="false">
      <c r="A75" s="11" t="s">
        <v>111</v>
      </c>
    </row>
    <row r="76" customFormat="false" ht="15" hidden="false" customHeight="false" outlineLevel="0" collapsed="false">
      <c r="A76" s="11" t="s">
        <v>112</v>
      </c>
    </row>
    <row r="78" customFormat="false" ht="15" hidden="false" customHeight="false" outlineLevel="0" collapsed="false">
      <c r="A78" s="3" t="s">
        <v>113</v>
      </c>
      <c r="C78" s="21" t="n">
        <f aca="false">C6+C7+C8+C9+C10</f>
        <v>876405</v>
      </c>
      <c r="D78" s="21" t="n">
        <f aca="false">D6+D7+D8+D9+D10</f>
        <v>420489</v>
      </c>
      <c r="E78" s="21" t="n">
        <f aca="false">E6+E7+E8+E9+E10</f>
        <v>1081505</v>
      </c>
      <c r="F78" s="21" t="n">
        <f aca="false">F6+F7+F8+F9+F10</f>
        <v>1043649</v>
      </c>
      <c r="G78" s="21" t="n">
        <f aca="false">G6+G7+G8+G9+G10</f>
        <v>1073959</v>
      </c>
      <c r="H78" s="21" t="n">
        <f aca="false">H6+H7+H8+H9+H10</f>
        <v>379195</v>
      </c>
      <c r="I78" s="21" t="n">
        <f aca="false">I6+I7+I8+I9+I10</f>
        <v>1055471</v>
      </c>
      <c r="J78" s="21" t="n">
        <f aca="false">J6+J7+J8+J9+J10</f>
        <v>1104280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6" min="4" style="0" width="13"/>
    <col collapsed="false" customWidth="true" hidden="false" outlineLevel="0" max="7" min="7" style="0" width="70"/>
  </cols>
  <sheetData>
    <row r="1" customFormat="false" ht="15" hidden="false" customHeight="false" outlineLevel="0" collapsed="false">
      <c r="B1" s="12" t="s">
        <v>114</v>
      </c>
    </row>
    <row r="2" customFormat="false" ht="15" hidden="false" customHeight="false" outlineLevel="0" collapsed="false">
      <c r="B2" s="13" t="s">
        <v>115</v>
      </c>
    </row>
    <row r="4" customFormat="false" ht="15" hidden="false" customHeight="false" outlineLevel="0" collapsed="false">
      <c r="B4" s="16" t="s">
        <v>116</v>
      </c>
      <c r="C4" s="17"/>
      <c r="D4" s="17"/>
      <c r="E4" s="17"/>
      <c r="F4" s="17"/>
      <c r="G4" s="17"/>
    </row>
    <row r="5" customFormat="false" ht="15" hidden="false" customHeight="false" outlineLevel="0" collapsed="false">
      <c r="B5" s="4" t="s">
        <v>117</v>
      </c>
      <c r="C5" s="13" t="s">
        <v>59</v>
      </c>
      <c r="E5" s="22" t="n">
        <v>26.95</v>
      </c>
      <c r="G5" s="13" t="s">
        <v>118</v>
      </c>
    </row>
    <row r="6" customFormat="false" ht="15" hidden="false" customHeight="false" outlineLevel="0" collapsed="false">
      <c r="B6" s="4" t="s">
        <v>119</v>
      </c>
      <c r="C6" s="13" t="s">
        <v>120</v>
      </c>
      <c r="E6" s="23" t="n">
        <v>104.07</v>
      </c>
      <c r="G6" s="13" t="s">
        <v>121</v>
      </c>
    </row>
    <row r="7" customFormat="false" ht="15" hidden="false" customHeight="false" outlineLevel="0" collapsed="false">
      <c r="B7" s="4" t="s">
        <v>122</v>
      </c>
      <c r="C7" s="13" t="s">
        <v>59</v>
      </c>
      <c r="E7" s="22" t="n">
        <v>0.68</v>
      </c>
      <c r="G7" s="13" t="s">
        <v>123</v>
      </c>
    </row>
    <row r="8" customFormat="false" ht="15" hidden="false" customHeight="false" outlineLevel="0" collapsed="false">
      <c r="B8" s="4" t="s">
        <v>124</v>
      </c>
      <c r="C8" s="13" t="s">
        <v>73</v>
      </c>
      <c r="E8" s="24" t="n">
        <v>0.06</v>
      </c>
      <c r="G8" s="13" t="s">
        <v>125</v>
      </c>
    </row>
    <row r="9" customFormat="false" ht="15" hidden="false" customHeight="false" outlineLevel="0" collapsed="false">
      <c r="B9" s="4" t="s">
        <v>126</v>
      </c>
      <c r="C9" s="13" t="s">
        <v>73</v>
      </c>
      <c r="E9" s="24" t="n">
        <v>0.04</v>
      </c>
      <c r="G9" s="13" t="s">
        <v>127</v>
      </c>
    </row>
    <row r="10" customFormat="false" ht="15" hidden="false" customHeight="false" outlineLevel="0" collapsed="false">
      <c r="B10" s="4" t="s">
        <v>128</v>
      </c>
      <c r="C10" s="13" t="s">
        <v>59</v>
      </c>
      <c r="E10" s="22" t="n">
        <v>28.18</v>
      </c>
      <c r="G10" s="13" t="s">
        <v>129</v>
      </c>
    </row>
    <row r="11" customFormat="false" ht="15" hidden="false" customHeight="false" outlineLevel="0" collapsed="false">
      <c r="B11" s="4" t="s">
        <v>130</v>
      </c>
      <c r="C11" s="13" t="s">
        <v>59</v>
      </c>
      <c r="E11" s="22" t="n">
        <v>33</v>
      </c>
      <c r="G11" s="13" t="s">
        <v>131</v>
      </c>
    </row>
    <row r="12" customFormat="false" ht="15" hidden="false" customHeight="false" outlineLevel="0" collapsed="false">
      <c r="B12" s="4" t="s">
        <v>132</v>
      </c>
      <c r="C12" s="13" t="s">
        <v>73</v>
      </c>
      <c r="E12" s="24" t="n">
        <v>0.1779</v>
      </c>
      <c r="G12" s="13" t="s">
        <v>133</v>
      </c>
    </row>
    <row r="13" customFormat="false" ht="15" hidden="false" customHeight="false" outlineLevel="0" collapsed="false">
      <c r="B13" s="4" t="s">
        <v>134</v>
      </c>
      <c r="C13" s="13" t="s">
        <v>135</v>
      </c>
      <c r="E13" s="25" t="n">
        <v>3720</v>
      </c>
      <c r="G13" s="13" t="s">
        <v>136</v>
      </c>
    </row>
    <row r="14" customFormat="false" ht="15" hidden="false" customHeight="false" outlineLevel="0" collapsed="false">
      <c r="B14" s="4" t="s">
        <v>137</v>
      </c>
      <c r="C14" s="13" t="s">
        <v>138</v>
      </c>
      <c r="E14" s="26" t="n">
        <v>8.66</v>
      </c>
      <c r="G14" s="13" t="s">
        <v>136</v>
      </c>
    </row>
    <row r="15" customFormat="false" ht="15" hidden="false" customHeight="false" outlineLevel="0" collapsed="false">
      <c r="B15" s="4" t="s">
        <v>139</v>
      </c>
      <c r="C15" s="13" t="s">
        <v>138</v>
      </c>
      <c r="E15" s="26" t="n">
        <v>0.82</v>
      </c>
      <c r="G15" s="13" t="s">
        <v>140</v>
      </c>
    </row>
    <row r="16" customFormat="false" ht="15" hidden="false" customHeight="false" outlineLevel="0" collapsed="false">
      <c r="B16" s="4" t="s">
        <v>141</v>
      </c>
      <c r="C16" s="13" t="s">
        <v>135</v>
      </c>
      <c r="E16" s="25" t="n">
        <v>990</v>
      </c>
      <c r="G16" s="13" t="s">
        <v>142</v>
      </c>
    </row>
    <row r="17" customFormat="false" ht="15" hidden="false" customHeight="false" outlineLevel="0" collapsed="false">
      <c r="B17" s="4" t="s">
        <v>143</v>
      </c>
      <c r="C17" s="13" t="s">
        <v>135</v>
      </c>
      <c r="E17" s="25" t="n">
        <v>429.6</v>
      </c>
      <c r="G17" s="13" t="s">
        <v>144</v>
      </c>
    </row>
    <row r="18" customFormat="false" ht="15" hidden="false" customHeight="false" outlineLevel="0" collapsed="false">
      <c r="B18" s="4" t="s">
        <v>145</v>
      </c>
      <c r="C18" s="13" t="s">
        <v>59</v>
      </c>
      <c r="E18" s="22" t="n">
        <v>1.434</v>
      </c>
      <c r="G18" s="13" t="s">
        <v>146</v>
      </c>
    </row>
    <row r="19" customFormat="false" ht="15" hidden="false" customHeight="false" outlineLevel="0" collapsed="false">
      <c r="B19" s="4" t="s">
        <v>147</v>
      </c>
      <c r="C19" s="13" t="s">
        <v>59</v>
      </c>
      <c r="E19" s="19" t="n">
        <v>0.75</v>
      </c>
      <c r="G19" s="13" t="s">
        <v>148</v>
      </c>
    </row>
    <row r="21" customFormat="false" ht="15" hidden="false" customHeight="false" outlineLevel="0" collapsed="false">
      <c r="B21" s="16" t="s">
        <v>149</v>
      </c>
      <c r="C21" s="17"/>
      <c r="D21" s="17"/>
      <c r="E21" s="17"/>
      <c r="F21" s="17"/>
      <c r="G21" s="17"/>
    </row>
    <row r="22" customFormat="false" ht="15" hidden="false" customHeight="false" outlineLevel="0" collapsed="false">
      <c r="B22" s="4" t="s">
        <v>150</v>
      </c>
      <c r="C22" s="13" t="s">
        <v>63</v>
      </c>
      <c r="E22" s="18" t="n">
        <v>133500</v>
      </c>
      <c r="G22" s="13" t="s">
        <v>151</v>
      </c>
    </row>
    <row r="23" customFormat="false" ht="15" hidden="false" customHeight="false" outlineLevel="0" collapsed="false">
      <c r="B23" s="4" t="s">
        <v>152</v>
      </c>
      <c r="C23" s="13" t="s">
        <v>63</v>
      </c>
      <c r="E23" s="18" t="n">
        <v>138500</v>
      </c>
      <c r="G23" s="13" t="s">
        <v>153</v>
      </c>
    </row>
    <row r="24" customFormat="false" ht="15" hidden="false" customHeight="false" outlineLevel="0" collapsed="false">
      <c r="B24" s="4" t="s">
        <v>154</v>
      </c>
      <c r="C24" s="13" t="s">
        <v>135</v>
      </c>
      <c r="E24" s="27" t="n">
        <v>10</v>
      </c>
      <c r="G24" s="13"/>
    </row>
    <row r="25" customFormat="false" ht="15" hidden="false" customHeight="false" outlineLevel="0" collapsed="false">
      <c r="B25" s="4" t="s">
        <v>155</v>
      </c>
      <c r="C25" s="13" t="s">
        <v>135</v>
      </c>
      <c r="E25" s="27" t="n">
        <v>50</v>
      </c>
      <c r="G25" s="13"/>
    </row>
    <row r="26" customFormat="false" ht="15" hidden="false" customHeight="false" outlineLevel="0" collapsed="false">
      <c r="B26" s="4" t="s">
        <v>156</v>
      </c>
      <c r="C26" s="13" t="s">
        <v>135</v>
      </c>
      <c r="E26" s="27" t="n">
        <v>250.043</v>
      </c>
      <c r="G26" s="13" t="s">
        <v>157</v>
      </c>
    </row>
    <row r="28" customFormat="false" ht="15" hidden="false" customHeight="false" outlineLevel="0" collapsed="false">
      <c r="B28" s="16" t="s">
        <v>158</v>
      </c>
      <c r="C28" s="17"/>
      <c r="D28" s="17"/>
      <c r="E28" s="17"/>
      <c r="F28" s="17"/>
      <c r="G28" s="17"/>
    </row>
    <row r="29" customFormat="false" ht="15" hidden="false" customHeight="false" outlineLevel="0" collapsed="false">
      <c r="B29" s="4" t="s">
        <v>159</v>
      </c>
      <c r="C29" s="13" t="s">
        <v>73</v>
      </c>
      <c r="E29" s="28" t="n">
        <v>0.23</v>
      </c>
      <c r="G29" s="13" t="s">
        <v>160</v>
      </c>
    </row>
    <row r="30" customFormat="false" ht="15" hidden="false" customHeight="false" outlineLevel="0" collapsed="false">
      <c r="B30" s="4" t="s">
        <v>161</v>
      </c>
      <c r="C30" s="13" t="s">
        <v>135</v>
      </c>
      <c r="E30" s="29" t="n">
        <v>12</v>
      </c>
      <c r="G30" s="13" t="s">
        <v>162</v>
      </c>
    </row>
    <row r="31" customFormat="false" ht="15" hidden="false" customHeight="false" outlineLevel="0" collapsed="false">
      <c r="B31" s="4" t="s">
        <v>163</v>
      </c>
      <c r="C31" s="13" t="s">
        <v>135</v>
      </c>
      <c r="E31" s="29" t="n">
        <v>9</v>
      </c>
      <c r="G31" s="13" t="s">
        <v>164</v>
      </c>
    </row>
    <row r="32" customFormat="false" ht="15" hidden="false" customHeight="false" outlineLevel="0" collapsed="false">
      <c r="B32" s="4" t="s">
        <v>165</v>
      </c>
      <c r="C32" s="13" t="s">
        <v>135</v>
      </c>
      <c r="E32" s="29" t="n">
        <v>3.6</v>
      </c>
      <c r="G32" s="13" t="s">
        <v>166</v>
      </c>
    </row>
    <row r="33" customFormat="false" ht="15" hidden="false" customHeight="false" outlineLevel="0" collapsed="false">
      <c r="B33" s="4" t="s">
        <v>167</v>
      </c>
      <c r="C33" s="13" t="s">
        <v>135</v>
      </c>
      <c r="E33" s="29" t="n">
        <v>43</v>
      </c>
      <c r="G33" s="13" t="s">
        <v>168</v>
      </c>
    </row>
    <row r="34" customFormat="false" ht="15" hidden="false" customHeight="false" outlineLevel="0" collapsed="false">
      <c r="B34" s="4" t="s">
        <v>169</v>
      </c>
      <c r="C34" s="13" t="s">
        <v>135</v>
      </c>
      <c r="E34" s="29" t="n">
        <v>9</v>
      </c>
      <c r="G34" s="13" t="s">
        <v>170</v>
      </c>
    </row>
    <row r="35" customFormat="false" ht="15" hidden="false" customHeight="false" outlineLevel="0" collapsed="false">
      <c r="B35" s="4" t="s">
        <v>171</v>
      </c>
      <c r="C35" s="13" t="s">
        <v>73</v>
      </c>
      <c r="E35" s="28" t="n">
        <v>0.05</v>
      </c>
      <c r="G35" s="13" t="s">
        <v>172</v>
      </c>
    </row>
    <row r="36" customFormat="false" ht="15" hidden="false" customHeight="false" outlineLevel="0" collapsed="false">
      <c r="B36" s="4" t="s">
        <v>173</v>
      </c>
      <c r="C36" s="13" t="s">
        <v>135</v>
      </c>
      <c r="E36" s="29" t="n">
        <v>190</v>
      </c>
      <c r="G36" s="13" t="s">
        <v>174</v>
      </c>
    </row>
    <row r="37" customFormat="false" ht="15" hidden="false" customHeight="false" outlineLevel="0" collapsed="false">
      <c r="B37" s="4" t="s">
        <v>175</v>
      </c>
      <c r="C37" s="13" t="s">
        <v>135</v>
      </c>
      <c r="E37" s="29" t="n">
        <v>185</v>
      </c>
      <c r="G37" s="13"/>
    </row>
    <row r="38" customFormat="false" ht="15" hidden="false" customHeight="false" outlineLevel="0" collapsed="false">
      <c r="B38" s="4" t="s">
        <v>176</v>
      </c>
      <c r="C38" s="13" t="s">
        <v>73</v>
      </c>
      <c r="E38" s="28" t="n">
        <v>0.6</v>
      </c>
      <c r="G38" s="13" t="s">
        <v>177</v>
      </c>
    </row>
    <row r="39" customFormat="false" ht="15" hidden="false" customHeight="false" outlineLevel="0" collapsed="false">
      <c r="B39" s="4" t="s">
        <v>178</v>
      </c>
      <c r="C39" s="13" t="s">
        <v>73</v>
      </c>
      <c r="E39" s="28" t="n">
        <v>0.28</v>
      </c>
      <c r="G39" s="13" t="s">
        <v>179</v>
      </c>
    </row>
    <row r="40" customFormat="false" ht="15" hidden="false" customHeight="false" outlineLevel="0" collapsed="false">
      <c r="B40" s="4" t="s">
        <v>180</v>
      </c>
      <c r="C40" s="13" t="s">
        <v>73</v>
      </c>
      <c r="E40" s="28" t="n">
        <v>0.29</v>
      </c>
      <c r="G40" s="13"/>
    </row>
    <row r="41" customFormat="false" ht="15" hidden="false" customHeight="false" outlineLevel="0" collapsed="false">
      <c r="B41" s="4" t="s">
        <v>181</v>
      </c>
      <c r="C41" s="13" t="s">
        <v>73</v>
      </c>
      <c r="E41" s="28" t="n">
        <v>0.26</v>
      </c>
      <c r="G41" s="13"/>
    </row>
    <row r="42" customFormat="false" ht="15" hidden="false" customHeight="false" outlineLevel="0" collapsed="false">
      <c r="B42" s="4" t="s">
        <v>182</v>
      </c>
      <c r="C42" s="13" t="s">
        <v>73</v>
      </c>
      <c r="E42" s="30" t="n">
        <f aca="false">1-E39-E40-E41</f>
        <v>0.17</v>
      </c>
      <c r="G42" s="13" t="s">
        <v>183</v>
      </c>
    </row>
    <row r="43" customFormat="false" ht="15" hidden="false" customHeight="false" outlineLevel="0" collapsed="false">
      <c r="B43" s="4" t="s">
        <v>184</v>
      </c>
      <c r="C43" s="13" t="s">
        <v>73</v>
      </c>
      <c r="E43" s="28" t="n">
        <v>0.02</v>
      </c>
      <c r="G43" s="13"/>
    </row>
    <row r="44" customFormat="false" ht="15" hidden="false" customHeight="false" outlineLevel="0" collapsed="false">
      <c r="B44" s="4" t="s">
        <v>185</v>
      </c>
      <c r="C44" s="13" t="s">
        <v>73</v>
      </c>
      <c r="E44" s="28" t="n">
        <v>0</v>
      </c>
      <c r="G44" s="13" t="s">
        <v>186</v>
      </c>
    </row>
    <row r="45" customFormat="false" ht="15" hidden="false" customHeight="false" outlineLevel="0" collapsed="false">
      <c r="B45" s="4" t="s">
        <v>187</v>
      </c>
      <c r="C45" s="13" t="s">
        <v>73</v>
      </c>
      <c r="E45" s="28" t="n">
        <v>0.04</v>
      </c>
      <c r="G45" s="13" t="s">
        <v>188</v>
      </c>
    </row>
    <row r="46" customFormat="false" ht="15" hidden="false" customHeight="false" outlineLevel="0" collapsed="false">
      <c r="B46" s="4" t="s">
        <v>189</v>
      </c>
      <c r="C46" s="13" t="s">
        <v>135</v>
      </c>
      <c r="E46" s="27" t="n">
        <v>1283.3</v>
      </c>
      <c r="G46" s="13" t="s">
        <v>190</v>
      </c>
    </row>
    <row r="47" customFormat="false" ht="15" hidden="false" customHeight="false" outlineLevel="0" collapsed="false">
      <c r="B47" s="4" t="s">
        <v>191</v>
      </c>
      <c r="C47" s="13" t="s">
        <v>135</v>
      </c>
      <c r="E47" s="27" t="n">
        <v>297.342</v>
      </c>
      <c r="G47" s="13" t="s">
        <v>192</v>
      </c>
    </row>
    <row r="48" customFormat="false" ht="15" hidden="false" customHeight="false" outlineLevel="0" collapsed="false">
      <c r="B48" s="4" t="s">
        <v>193</v>
      </c>
      <c r="C48" s="13" t="s">
        <v>135</v>
      </c>
      <c r="E48" s="31" t="n">
        <f aca="false">E46-E47</f>
        <v>985.958</v>
      </c>
      <c r="G48" s="13" t="s">
        <v>194</v>
      </c>
    </row>
    <row r="49" customFormat="false" ht="15" hidden="false" customHeight="false" outlineLevel="0" collapsed="false">
      <c r="B49" s="4" t="s">
        <v>195</v>
      </c>
      <c r="C49" s="13" t="s">
        <v>135</v>
      </c>
      <c r="E49" s="29" t="n">
        <v>50</v>
      </c>
      <c r="G49" s="13" t="s">
        <v>196</v>
      </c>
    </row>
    <row r="50" customFormat="false" ht="15" hidden="false" customHeight="false" outlineLevel="0" collapsed="false">
      <c r="B50" s="4" t="s">
        <v>197</v>
      </c>
      <c r="C50" s="13" t="s">
        <v>120</v>
      </c>
      <c r="E50" s="29" t="n">
        <v>105</v>
      </c>
      <c r="G50" s="13" t="s">
        <v>198</v>
      </c>
    </row>
    <row r="51" customFormat="false" ht="15" hidden="false" customHeight="false" outlineLevel="0" collapsed="false">
      <c r="B51" s="4" t="s">
        <v>199</v>
      </c>
      <c r="C51" s="13" t="s">
        <v>200</v>
      </c>
      <c r="E51" s="32" t="n">
        <v>0.75</v>
      </c>
      <c r="G51" s="13" t="s">
        <v>201</v>
      </c>
    </row>
    <row r="52" customFormat="false" ht="15" hidden="false" customHeight="false" outlineLevel="0" collapsed="false">
      <c r="B52" s="4" t="s">
        <v>202</v>
      </c>
      <c r="C52" s="13" t="s">
        <v>200</v>
      </c>
      <c r="E52" s="32" t="n">
        <v>0.5</v>
      </c>
      <c r="G52" s="13" t="s">
        <v>203</v>
      </c>
    </row>
    <row r="53" customFormat="false" ht="15" hidden="false" customHeight="false" outlineLevel="0" collapsed="false">
      <c r="B53" s="4" t="s">
        <v>204</v>
      </c>
      <c r="C53" s="13" t="s">
        <v>205</v>
      </c>
      <c r="E53" s="33" t="n">
        <v>1</v>
      </c>
      <c r="G53" s="13" t="s">
        <v>206</v>
      </c>
    </row>
    <row r="54" customFormat="false" ht="15" hidden="false" customHeight="false" outlineLevel="0" collapsed="false">
      <c r="B54" s="4" t="s">
        <v>207</v>
      </c>
      <c r="C54" s="13" t="s">
        <v>73</v>
      </c>
      <c r="E54" s="28" t="n">
        <v>0.15</v>
      </c>
      <c r="G54" s="13" t="s">
        <v>208</v>
      </c>
    </row>
    <row r="56" customFormat="false" ht="15" hidden="false" customHeight="false" outlineLevel="0" collapsed="false">
      <c r="B56" s="16" t="s">
        <v>209</v>
      </c>
      <c r="C56" s="17"/>
      <c r="D56" s="17"/>
      <c r="E56" s="17"/>
      <c r="F56" s="17"/>
      <c r="G56" s="17"/>
    </row>
    <row r="57" customFormat="false" ht="15" hidden="false" customHeight="false" outlineLevel="0" collapsed="false">
      <c r="B57" s="4" t="s">
        <v>210</v>
      </c>
      <c r="C57" s="13" t="s">
        <v>73</v>
      </c>
      <c r="E57" s="30" t="n">
        <f aca="false">SLOPE(Historicals!E11:J11,Historicals!E78:J78)</f>
        <v>0.46742843879358</v>
      </c>
      <c r="G57" s="13" t="s">
        <v>211</v>
      </c>
    </row>
    <row r="58" customFormat="false" ht="15" hidden="false" customHeight="false" outlineLevel="0" collapsed="false">
      <c r="B58" s="4" t="s">
        <v>212</v>
      </c>
      <c r="C58" s="13" t="s">
        <v>135</v>
      </c>
      <c r="E58" s="31" t="n">
        <f aca="false">-INTERCEPT(Historicals!E11:J11,Historicals!E78:J78)/1000</f>
        <v>207.404160012575</v>
      </c>
      <c r="G58" s="13" t="s">
        <v>213</v>
      </c>
    </row>
    <row r="59" customFormat="false" ht="15" hidden="false" customHeight="false" outlineLevel="0" collapsed="false">
      <c r="B59" s="4" t="s">
        <v>214</v>
      </c>
      <c r="C59" s="13"/>
      <c r="E59" s="34" t="n">
        <f aca="false">RSQ(Historicals!E11:J11,Historicals!E78:J78)</f>
        <v>0.987180307302356</v>
      </c>
      <c r="G59" s="13"/>
    </row>
    <row r="60" customFormat="false" ht="15" hidden="false" customHeight="false" outlineLevel="0" collapsed="false">
      <c r="B60" s="4" t="s">
        <v>215</v>
      </c>
      <c r="C60" s="13" t="s">
        <v>39</v>
      </c>
      <c r="E60" s="35" t="n">
        <f aca="false">(Historicals!I6+Historicals!J6)/(Historicals!I27+Historicals!J27)*1000/1000</f>
        <v>22.016508940709</v>
      </c>
      <c r="G60" s="13" t="s">
        <v>216</v>
      </c>
    </row>
    <row r="61" customFormat="false" ht="15" hidden="false" customHeight="false" outlineLevel="0" collapsed="false">
      <c r="B61" s="4" t="s">
        <v>217</v>
      </c>
      <c r="C61" s="13" t="s">
        <v>138</v>
      </c>
      <c r="E61" s="34" t="n">
        <f aca="false">(Historicals!J49+Historicals!J50+Historicals!J51+Historicals!J52+Inputs!$E$26*1000)/(Historicals!J41+Historicals!J42+Historicals!J45)</f>
        <v>1.04299820806146</v>
      </c>
      <c r="G61" s="13"/>
    </row>
    <row r="63" customFormat="false" ht="15" hidden="false" customHeight="false" outlineLevel="0" collapsed="false">
      <c r="B63" s="16" t="s">
        <v>218</v>
      </c>
      <c r="C63" s="17"/>
      <c r="D63" s="17"/>
      <c r="E63" s="17"/>
      <c r="F63" s="17"/>
      <c r="G63" s="17"/>
    </row>
    <row r="64" customFormat="false" ht="15" hidden="false" customHeight="false" outlineLevel="0" collapsed="false">
      <c r="D64" s="15" t="s">
        <v>219</v>
      </c>
      <c r="E64" s="15" t="s">
        <v>220</v>
      </c>
      <c r="F64" s="15" t="s">
        <v>221</v>
      </c>
    </row>
    <row r="65" customFormat="false" ht="15" hidden="false" customHeight="false" outlineLevel="0" collapsed="false">
      <c r="B65" s="4" t="s">
        <v>222</v>
      </c>
      <c r="C65" s="13" t="s">
        <v>73</v>
      </c>
      <c r="D65" s="28" t="n">
        <v>0.4</v>
      </c>
      <c r="E65" s="28" t="n">
        <v>0.4</v>
      </c>
      <c r="F65" s="28" t="n">
        <v>0.2</v>
      </c>
      <c r="G65" s="13" t="s">
        <v>223</v>
      </c>
    </row>
    <row r="66" customFormat="false" ht="15" hidden="false" customHeight="false" outlineLevel="0" collapsed="false">
      <c r="B66" s="4" t="s">
        <v>224</v>
      </c>
      <c r="C66" s="13" t="s">
        <v>73</v>
      </c>
      <c r="D66" s="28" t="n">
        <v>-0.03</v>
      </c>
      <c r="E66" s="28" t="n">
        <v>0.04</v>
      </c>
      <c r="F66" s="28" t="n">
        <v>0.08</v>
      </c>
      <c r="G66" s="13" t="s">
        <v>225</v>
      </c>
    </row>
    <row r="67" customFormat="false" ht="15" hidden="false" customHeight="false" outlineLevel="0" collapsed="false">
      <c r="B67" s="4" t="s">
        <v>226</v>
      </c>
      <c r="C67" s="13" t="s">
        <v>73</v>
      </c>
      <c r="D67" s="28" t="n">
        <v>-0.05</v>
      </c>
      <c r="E67" s="28" t="n">
        <v>0.01</v>
      </c>
      <c r="F67" s="28" t="n">
        <v>0.04</v>
      </c>
      <c r="G67" s="13" t="s">
        <v>227</v>
      </c>
    </row>
    <row r="68" customFormat="false" ht="15" hidden="false" customHeight="false" outlineLevel="0" collapsed="false">
      <c r="B68" s="4" t="s">
        <v>228</v>
      </c>
      <c r="C68" s="13" t="s">
        <v>73</v>
      </c>
      <c r="D68" s="28" t="n">
        <v>-0.03</v>
      </c>
      <c r="E68" s="28" t="n">
        <v>0</v>
      </c>
      <c r="F68" s="28" t="n">
        <v>0.03</v>
      </c>
      <c r="G68" s="13"/>
    </row>
    <row r="69" customFormat="false" ht="15" hidden="false" customHeight="false" outlineLevel="0" collapsed="false">
      <c r="B69" s="4" t="s">
        <v>229</v>
      </c>
      <c r="C69" s="13" t="s">
        <v>73</v>
      </c>
      <c r="D69" s="28" t="n">
        <v>-0.02</v>
      </c>
      <c r="E69" s="28" t="n">
        <v>0</v>
      </c>
      <c r="F69" s="28" t="n">
        <v>0.02</v>
      </c>
      <c r="G69" s="13"/>
    </row>
    <row r="70" customFormat="false" ht="15" hidden="false" customHeight="false" outlineLevel="0" collapsed="false">
      <c r="B70" s="4" t="s">
        <v>230</v>
      </c>
      <c r="C70" s="13" t="s">
        <v>63</v>
      </c>
      <c r="D70" s="36" t="n">
        <v>130000</v>
      </c>
      <c r="E70" s="36" t="n">
        <v>136000</v>
      </c>
      <c r="F70" s="36" t="n">
        <v>139000</v>
      </c>
      <c r="G70" s="13" t="s">
        <v>231</v>
      </c>
    </row>
    <row r="71" customFormat="false" ht="15" hidden="false" customHeight="false" outlineLevel="0" collapsed="false">
      <c r="B71" s="4" t="s">
        <v>232</v>
      </c>
      <c r="C71" s="13" t="s">
        <v>73</v>
      </c>
      <c r="D71" s="28" t="n">
        <v>-0.04</v>
      </c>
      <c r="E71" s="28" t="n">
        <v>0.01</v>
      </c>
      <c r="F71" s="28" t="n">
        <v>0.02</v>
      </c>
      <c r="G71" s="13" t="s">
        <v>233</v>
      </c>
    </row>
    <row r="72" customFormat="false" ht="15" hidden="false" customHeight="false" outlineLevel="0" collapsed="false">
      <c r="B72" s="4" t="s">
        <v>234</v>
      </c>
      <c r="C72" s="13" t="s">
        <v>73</v>
      </c>
      <c r="D72" s="28" t="n">
        <v>-0.01</v>
      </c>
      <c r="E72" s="28" t="n">
        <v>0</v>
      </c>
      <c r="F72" s="28" t="n">
        <v>0.01</v>
      </c>
      <c r="G72" s="13"/>
    </row>
    <row r="73" customFormat="false" ht="15" hidden="false" customHeight="false" outlineLevel="0" collapsed="false">
      <c r="B73" s="4" t="s">
        <v>235</v>
      </c>
      <c r="C73" s="13" t="s">
        <v>73</v>
      </c>
      <c r="D73" s="28" t="n">
        <v>0</v>
      </c>
      <c r="E73" s="28" t="n">
        <v>0</v>
      </c>
      <c r="F73" s="28" t="n">
        <v>0</v>
      </c>
      <c r="G73" s="13"/>
    </row>
    <row r="74" customFormat="false" ht="15" hidden="false" customHeight="false" outlineLevel="0" collapsed="false">
      <c r="B74" s="4" t="s">
        <v>236</v>
      </c>
      <c r="C74" s="13" t="s">
        <v>73</v>
      </c>
      <c r="D74" s="28" t="n">
        <v>-0.02</v>
      </c>
      <c r="E74" s="28" t="n">
        <v>0</v>
      </c>
      <c r="F74" s="28" t="n">
        <v>0.01</v>
      </c>
      <c r="G74" s="13" t="s">
        <v>237</v>
      </c>
    </row>
    <row r="75" customFormat="false" ht="15" hidden="false" customHeight="false" outlineLevel="0" collapsed="false">
      <c r="B75" s="4" t="s">
        <v>238</v>
      </c>
      <c r="C75" s="13" t="s">
        <v>73</v>
      </c>
      <c r="D75" s="28" t="n">
        <v>-0.04</v>
      </c>
      <c r="E75" s="28" t="n">
        <v>-0.01</v>
      </c>
      <c r="F75" s="28" t="n">
        <v>0</v>
      </c>
      <c r="G75" s="13" t="s">
        <v>239</v>
      </c>
    </row>
    <row r="76" customFormat="false" ht="15" hidden="false" customHeight="false" outlineLevel="0" collapsed="false">
      <c r="B76" s="4" t="s">
        <v>240</v>
      </c>
      <c r="C76" s="13" t="s">
        <v>73</v>
      </c>
      <c r="D76" s="28" t="n">
        <v>-0.02</v>
      </c>
      <c r="E76" s="28" t="n">
        <v>0</v>
      </c>
      <c r="F76" s="28" t="n">
        <v>0.02</v>
      </c>
      <c r="G76" s="13"/>
    </row>
    <row r="77" customFormat="false" ht="15" hidden="false" customHeight="false" outlineLevel="0" collapsed="false">
      <c r="B77" s="4" t="s">
        <v>241</v>
      </c>
      <c r="C77" s="13" t="s">
        <v>73</v>
      </c>
      <c r="D77" s="28" t="n">
        <v>-0.01</v>
      </c>
      <c r="E77" s="28" t="n">
        <v>0.01</v>
      </c>
      <c r="F77" s="28" t="n">
        <v>0.02</v>
      </c>
      <c r="G77" s="13"/>
    </row>
    <row r="78" customFormat="false" ht="15" hidden="false" customHeight="false" outlineLevel="0" collapsed="false">
      <c r="B78" s="4" t="s">
        <v>242</v>
      </c>
      <c r="C78" s="13" t="s">
        <v>73</v>
      </c>
      <c r="D78" s="28" t="n">
        <v>-0.05</v>
      </c>
      <c r="E78" s="28" t="n">
        <v>-0.01</v>
      </c>
      <c r="F78" s="28" t="n">
        <v>0.03</v>
      </c>
      <c r="G78" s="13" t="s">
        <v>243</v>
      </c>
    </row>
    <row r="79" customFormat="false" ht="15" hidden="false" customHeight="false" outlineLevel="0" collapsed="false">
      <c r="B79" s="4" t="s">
        <v>244</v>
      </c>
      <c r="C79" s="13" t="s">
        <v>73</v>
      </c>
      <c r="D79" s="28" t="n">
        <v>-0.015</v>
      </c>
      <c r="E79" s="28" t="n">
        <v>-0.005</v>
      </c>
      <c r="F79" s="28" t="n">
        <v>0.005</v>
      </c>
      <c r="G79" s="13" t="s">
        <v>245</v>
      </c>
    </row>
    <row r="80" customFormat="false" ht="15" hidden="false" customHeight="false" outlineLevel="0" collapsed="false">
      <c r="B80" s="4" t="s">
        <v>246</v>
      </c>
      <c r="C80" s="13" t="s">
        <v>73</v>
      </c>
      <c r="D80" s="28" t="n">
        <v>-0.02</v>
      </c>
      <c r="E80" s="28" t="n">
        <v>-0.005</v>
      </c>
      <c r="F80" s="28" t="n">
        <v>0.01</v>
      </c>
      <c r="G80" s="13" t="s">
        <v>247</v>
      </c>
    </row>
    <row r="81" customFormat="false" ht="15" hidden="false" customHeight="false" outlineLevel="0" collapsed="false">
      <c r="B81" s="4" t="s">
        <v>248</v>
      </c>
      <c r="C81" s="13" t="s">
        <v>73</v>
      </c>
      <c r="D81" s="28" t="n">
        <v>0.02</v>
      </c>
      <c r="E81" s="28" t="n">
        <v>0.01</v>
      </c>
      <c r="F81" s="28" t="n">
        <v>0</v>
      </c>
      <c r="G81" s="13" t="s">
        <v>249</v>
      </c>
    </row>
    <row r="82" customFormat="false" ht="15" hidden="false" customHeight="false" outlineLevel="0" collapsed="false">
      <c r="B82" s="4" t="s">
        <v>250</v>
      </c>
      <c r="C82" s="13" t="s">
        <v>135</v>
      </c>
      <c r="D82" s="29" t="n">
        <v>-80</v>
      </c>
      <c r="E82" s="29" t="n">
        <v>-75</v>
      </c>
      <c r="F82" s="29" t="n">
        <v>-70</v>
      </c>
      <c r="G82" s="13" t="s">
        <v>251</v>
      </c>
    </row>
    <row r="83" customFormat="false" ht="15" hidden="false" customHeight="false" outlineLevel="0" collapsed="false">
      <c r="B83" s="4" t="s">
        <v>252</v>
      </c>
      <c r="C83" s="13" t="s">
        <v>135</v>
      </c>
      <c r="D83" s="29" t="n">
        <v>-80</v>
      </c>
      <c r="E83" s="29" t="n">
        <v>-65</v>
      </c>
      <c r="F83" s="29" t="n">
        <v>-55</v>
      </c>
      <c r="G83" s="13"/>
    </row>
    <row r="84" customFormat="false" ht="15" hidden="false" customHeight="false" outlineLevel="0" collapsed="false">
      <c r="B84" s="4" t="s">
        <v>253</v>
      </c>
      <c r="C84" s="13" t="s">
        <v>135</v>
      </c>
      <c r="D84" s="29" t="n">
        <v>-75</v>
      </c>
      <c r="E84" s="29" t="n">
        <v>-55</v>
      </c>
      <c r="F84" s="29" t="n">
        <v>-40</v>
      </c>
      <c r="G84" s="13"/>
    </row>
    <row r="85" customFormat="false" ht="15" hidden="false" customHeight="false" outlineLevel="0" collapsed="false">
      <c r="B85" s="4" t="s">
        <v>254</v>
      </c>
      <c r="C85" s="13" t="s">
        <v>135</v>
      </c>
      <c r="D85" s="29" t="n">
        <v>-70</v>
      </c>
      <c r="E85" s="29" t="n">
        <v>-45</v>
      </c>
      <c r="F85" s="29" t="n">
        <v>-30</v>
      </c>
      <c r="G85" s="13"/>
    </row>
    <row r="86" customFormat="false" ht="15" hidden="false" customHeight="false" outlineLevel="0" collapsed="false">
      <c r="B86" s="4" t="s">
        <v>255</v>
      </c>
      <c r="C86" s="13" t="s">
        <v>73</v>
      </c>
      <c r="D86" s="28" t="n">
        <v>0</v>
      </c>
      <c r="E86" s="28" t="n">
        <v>0.2</v>
      </c>
      <c r="F86" s="28" t="n">
        <v>0.4</v>
      </c>
      <c r="G86" s="13"/>
    </row>
    <row r="87" customFormat="false" ht="15" hidden="false" customHeight="false" outlineLevel="0" collapsed="false">
      <c r="B87" s="4" t="s">
        <v>256</v>
      </c>
      <c r="C87" s="13" t="s">
        <v>135</v>
      </c>
      <c r="D87" s="29" t="n">
        <v>55</v>
      </c>
      <c r="E87" s="29" t="n">
        <v>60</v>
      </c>
      <c r="F87" s="29" t="n">
        <v>65</v>
      </c>
      <c r="G87" s="13" t="s">
        <v>257</v>
      </c>
    </row>
    <row r="88" customFormat="false" ht="15" hidden="false" customHeight="false" outlineLevel="0" collapsed="false">
      <c r="B88" s="4" t="s">
        <v>258</v>
      </c>
      <c r="C88" s="13" t="s">
        <v>135</v>
      </c>
      <c r="D88" s="29" t="n">
        <v>50</v>
      </c>
      <c r="E88" s="29" t="n">
        <v>65</v>
      </c>
      <c r="F88" s="29" t="n">
        <v>75</v>
      </c>
      <c r="G88" s="13"/>
    </row>
    <row r="89" customFormat="false" ht="15" hidden="false" customHeight="false" outlineLevel="0" collapsed="false">
      <c r="B89" s="4" t="s">
        <v>259</v>
      </c>
      <c r="C89" s="13" t="s">
        <v>135</v>
      </c>
      <c r="D89" s="29" t="n">
        <v>50</v>
      </c>
      <c r="E89" s="29" t="n">
        <v>70</v>
      </c>
      <c r="F89" s="29" t="n">
        <v>85</v>
      </c>
      <c r="G89" s="13"/>
    </row>
    <row r="90" customFormat="false" ht="15" hidden="false" customHeight="false" outlineLevel="0" collapsed="false">
      <c r="B90" s="4" t="s">
        <v>260</v>
      </c>
      <c r="C90" s="13" t="s">
        <v>135</v>
      </c>
      <c r="D90" s="29" t="n">
        <v>50</v>
      </c>
      <c r="E90" s="29" t="n">
        <v>72</v>
      </c>
      <c r="F90" s="29" t="n">
        <v>90</v>
      </c>
      <c r="G90" s="13"/>
    </row>
    <row r="91" customFormat="false" ht="15" hidden="false" customHeight="false" outlineLevel="0" collapsed="false">
      <c r="B91" s="4" t="s">
        <v>261</v>
      </c>
      <c r="C91" s="13" t="s">
        <v>73</v>
      </c>
      <c r="D91" s="28" t="n">
        <v>-0.02</v>
      </c>
      <c r="E91" s="28" t="n">
        <v>0.03</v>
      </c>
      <c r="F91" s="28" t="n">
        <v>0.06</v>
      </c>
      <c r="G91" s="13"/>
    </row>
    <row r="92" customFormat="false" ht="15" hidden="false" customHeight="false" outlineLevel="0" collapsed="false">
      <c r="B92" s="4" t="s">
        <v>262</v>
      </c>
      <c r="C92" s="13" t="s">
        <v>135</v>
      </c>
      <c r="D92" s="29" t="n">
        <v>25</v>
      </c>
      <c r="E92" s="29" t="n">
        <v>40</v>
      </c>
      <c r="F92" s="29" t="n">
        <v>60</v>
      </c>
      <c r="G92" s="13" t="s">
        <v>263</v>
      </c>
    </row>
    <row r="93" customFormat="false" ht="15" hidden="false" customHeight="false" outlineLevel="0" collapsed="false">
      <c r="B93" s="4" t="s">
        <v>264</v>
      </c>
      <c r="C93" s="13" t="s">
        <v>138</v>
      </c>
      <c r="D93" s="37" t="n">
        <v>5.5</v>
      </c>
      <c r="E93" s="37" t="n">
        <v>7</v>
      </c>
      <c r="F93" s="37" t="n">
        <v>8</v>
      </c>
      <c r="G93" s="13" t="s">
        <v>265</v>
      </c>
    </row>
    <row r="94" customFormat="false" ht="15" hidden="false" customHeight="false" outlineLevel="0" collapsed="false">
      <c r="B94" s="4" t="s">
        <v>266</v>
      </c>
      <c r="C94" s="13" t="s">
        <v>138</v>
      </c>
      <c r="D94" s="37" t="n">
        <v>7</v>
      </c>
      <c r="E94" s="37" t="n">
        <v>9</v>
      </c>
      <c r="F94" s="37" t="n">
        <v>11</v>
      </c>
      <c r="G94" s="13" t="s">
        <v>267</v>
      </c>
    </row>
    <row r="95" customFormat="false" ht="15" hidden="false" customHeight="false" outlineLevel="0" collapsed="false">
      <c r="B95" s="4" t="s">
        <v>268</v>
      </c>
      <c r="C95" s="13" t="s">
        <v>73</v>
      </c>
      <c r="D95" s="28" t="n">
        <v>0.11</v>
      </c>
      <c r="E95" s="28" t="n">
        <v>0.1</v>
      </c>
      <c r="F95" s="28" t="n">
        <v>0.095</v>
      </c>
      <c r="G95" s="13" t="s">
        <v>269</v>
      </c>
    </row>
    <row r="96" customFormat="false" ht="15" hidden="false" customHeight="false" outlineLevel="0" collapsed="false">
      <c r="B96" s="4" t="s">
        <v>270</v>
      </c>
      <c r="C96" s="13" t="s">
        <v>73</v>
      </c>
      <c r="D96" s="28" t="n">
        <v>0</v>
      </c>
      <c r="E96" s="28" t="n">
        <v>0.015</v>
      </c>
      <c r="F96" s="28" t="n">
        <v>0.02</v>
      </c>
      <c r="G96" s="13"/>
    </row>
    <row r="97" customFormat="false" ht="15" hidden="false" customHeight="false" outlineLevel="0" collapsed="false">
      <c r="B97" s="4" t="s">
        <v>271</v>
      </c>
      <c r="C97" s="13" t="s">
        <v>73</v>
      </c>
      <c r="D97" s="28" t="n">
        <v>0.5</v>
      </c>
      <c r="E97" s="28" t="n">
        <v>0.5</v>
      </c>
      <c r="F97" s="28" t="n">
        <v>0.5</v>
      </c>
      <c r="G97" s="13"/>
    </row>
    <row r="98" customFormat="false" ht="15" hidden="false" customHeight="false" outlineLevel="0" collapsed="false">
      <c r="B98" s="2" t="s">
        <v>272</v>
      </c>
      <c r="E98" s="30" t="n">
        <f aca="false">SUM(D65:F65)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8" min="5" style="0" width="11"/>
    <col collapsed="false" customWidth="true" hidden="false" outlineLevel="0" max="9" min="9" style="0" width="90"/>
  </cols>
  <sheetData>
    <row r="1" customFormat="false" ht="15" hidden="false" customHeight="false" outlineLevel="0" collapsed="false">
      <c r="B1" s="12" t="s">
        <v>273</v>
      </c>
    </row>
    <row r="2" customFormat="false" ht="15" hidden="false" customHeight="false" outlineLevel="0" collapsed="false">
      <c r="B2" s="13" t="s">
        <v>274</v>
      </c>
    </row>
    <row r="4" customFormat="false" ht="26.85" hidden="false" customHeight="false" outlineLevel="0" collapsed="false">
      <c r="A4" s="38" t="s">
        <v>275</v>
      </c>
      <c r="B4" s="38" t="s">
        <v>276</v>
      </c>
      <c r="C4" s="38" t="s">
        <v>28</v>
      </c>
      <c r="D4" s="38" t="s">
        <v>277</v>
      </c>
      <c r="E4" s="38" t="s">
        <v>278</v>
      </c>
      <c r="F4" s="38" t="s">
        <v>219</v>
      </c>
      <c r="G4" s="38" t="s">
        <v>220</v>
      </c>
      <c r="H4" s="38" t="s">
        <v>221</v>
      </c>
      <c r="I4" s="38" t="s">
        <v>279</v>
      </c>
    </row>
    <row r="5" customFormat="false" ht="15" hidden="false" customHeight="false" outlineLevel="0" collapsed="false">
      <c r="A5" s="11" t="n">
        <v>1</v>
      </c>
      <c r="B5" s="4" t="s">
        <v>117</v>
      </c>
      <c r="C5" s="13" t="s">
        <v>59</v>
      </c>
      <c r="D5" s="11" t="s">
        <v>280</v>
      </c>
      <c r="E5" s="22" t="n">
        <f aca="false">Inputs!E5</f>
        <v>26.95</v>
      </c>
      <c r="I5" s="39" t="s">
        <v>118</v>
      </c>
    </row>
    <row r="6" customFormat="false" ht="15" hidden="false" customHeight="false" outlineLevel="0" collapsed="false">
      <c r="A6" s="11" t="n">
        <v>2</v>
      </c>
      <c r="B6" s="4" t="s">
        <v>119</v>
      </c>
      <c r="C6" s="13" t="s">
        <v>120</v>
      </c>
      <c r="D6" s="11" t="s">
        <v>280</v>
      </c>
      <c r="E6" s="23" t="n">
        <f aca="false">Inputs!E6</f>
        <v>104.07</v>
      </c>
      <c r="I6" s="39" t="s">
        <v>121</v>
      </c>
    </row>
    <row r="7" customFormat="false" ht="15" hidden="false" customHeight="false" outlineLevel="0" collapsed="false">
      <c r="A7" s="11" t="n">
        <v>3</v>
      </c>
      <c r="B7" s="4" t="s">
        <v>122</v>
      </c>
      <c r="C7" s="13" t="s">
        <v>59</v>
      </c>
      <c r="D7" s="11" t="s">
        <v>280</v>
      </c>
      <c r="E7" s="22" t="n">
        <f aca="false">Inputs!E7</f>
        <v>0.68</v>
      </c>
      <c r="I7" s="39" t="s">
        <v>123</v>
      </c>
    </row>
    <row r="8" customFormat="false" ht="15" hidden="false" customHeight="false" outlineLevel="0" collapsed="false">
      <c r="A8" s="11" t="n">
        <v>4</v>
      </c>
      <c r="B8" s="4" t="s">
        <v>124</v>
      </c>
      <c r="C8" s="13" t="s">
        <v>73</v>
      </c>
      <c r="D8" s="11" t="s">
        <v>280</v>
      </c>
      <c r="E8" s="24" t="n">
        <f aca="false">Inputs!E8</f>
        <v>0.06</v>
      </c>
      <c r="I8" s="39" t="s">
        <v>125</v>
      </c>
    </row>
    <row r="9" customFormat="false" ht="15" hidden="false" customHeight="false" outlineLevel="0" collapsed="false">
      <c r="A9" s="11" t="n">
        <v>5</v>
      </c>
      <c r="B9" s="4" t="s">
        <v>126</v>
      </c>
      <c r="C9" s="13" t="s">
        <v>73</v>
      </c>
      <c r="D9" s="11" t="s">
        <v>280</v>
      </c>
      <c r="E9" s="24" t="n">
        <f aca="false">Inputs!E9</f>
        <v>0.04</v>
      </c>
      <c r="I9" s="39" t="s">
        <v>127</v>
      </c>
    </row>
    <row r="10" customFormat="false" ht="15" hidden="false" customHeight="false" outlineLevel="0" collapsed="false">
      <c r="A10" s="11" t="n">
        <v>6</v>
      </c>
      <c r="B10" s="4" t="s">
        <v>128</v>
      </c>
      <c r="C10" s="13" t="s">
        <v>59</v>
      </c>
      <c r="D10" s="11" t="s">
        <v>280</v>
      </c>
      <c r="E10" s="22" t="n">
        <f aca="false">Inputs!E10</f>
        <v>28.18</v>
      </c>
      <c r="I10" s="39" t="s">
        <v>129</v>
      </c>
    </row>
    <row r="11" customFormat="false" ht="15" hidden="false" customHeight="false" outlineLevel="0" collapsed="false">
      <c r="A11" s="11" t="n">
        <v>7</v>
      </c>
      <c r="B11" s="4" t="s">
        <v>130</v>
      </c>
      <c r="C11" s="13" t="s">
        <v>59</v>
      </c>
      <c r="D11" s="11" t="s">
        <v>280</v>
      </c>
      <c r="E11" s="22" t="n">
        <f aca="false">Inputs!E11</f>
        <v>33</v>
      </c>
      <c r="I11" s="39" t="s">
        <v>131</v>
      </c>
    </row>
    <row r="12" customFormat="false" ht="15" hidden="false" customHeight="false" outlineLevel="0" collapsed="false">
      <c r="A12" s="11" t="n">
        <v>8</v>
      </c>
      <c r="B12" s="4" t="s">
        <v>132</v>
      </c>
      <c r="C12" s="13" t="s">
        <v>73</v>
      </c>
      <c r="D12" s="11" t="s">
        <v>280</v>
      </c>
      <c r="E12" s="24" t="n">
        <f aca="false">Inputs!E12</f>
        <v>0.1779</v>
      </c>
      <c r="I12" s="39" t="s">
        <v>133</v>
      </c>
    </row>
    <row r="13" customFormat="false" ht="15" hidden="false" customHeight="false" outlineLevel="0" collapsed="false">
      <c r="A13" s="11" t="n">
        <v>9</v>
      </c>
      <c r="B13" s="4" t="s">
        <v>134</v>
      </c>
      <c r="C13" s="13" t="s">
        <v>135</v>
      </c>
      <c r="D13" s="11" t="s">
        <v>280</v>
      </c>
      <c r="E13" s="25" t="n">
        <f aca="false">Inputs!E13</f>
        <v>3720</v>
      </c>
      <c r="I13" s="39" t="s">
        <v>136</v>
      </c>
    </row>
    <row r="14" customFormat="false" ht="15" hidden="false" customHeight="false" outlineLevel="0" collapsed="false">
      <c r="A14" s="11" t="n">
        <v>10</v>
      </c>
      <c r="B14" s="4" t="s">
        <v>137</v>
      </c>
      <c r="C14" s="13" t="s">
        <v>138</v>
      </c>
      <c r="D14" s="11" t="s">
        <v>280</v>
      </c>
      <c r="E14" s="26" t="n">
        <f aca="false">Inputs!E14</f>
        <v>8.66</v>
      </c>
      <c r="I14" s="39" t="s">
        <v>136</v>
      </c>
    </row>
    <row r="15" customFormat="false" ht="15" hidden="false" customHeight="false" outlineLevel="0" collapsed="false">
      <c r="A15" s="11" t="n">
        <v>11</v>
      </c>
      <c r="B15" s="4" t="s">
        <v>139</v>
      </c>
      <c r="C15" s="13" t="s">
        <v>138</v>
      </c>
      <c r="D15" s="11" t="s">
        <v>280</v>
      </c>
      <c r="E15" s="26" t="n">
        <f aca="false">Inputs!E15</f>
        <v>0.82</v>
      </c>
      <c r="I15" s="39" t="s">
        <v>140</v>
      </c>
    </row>
    <row r="16" customFormat="false" ht="15" hidden="false" customHeight="false" outlineLevel="0" collapsed="false">
      <c r="A16" s="11" t="n">
        <v>12</v>
      </c>
      <c r="B16" s="4" t="s">
        <v>141</v>
      </c>
      <c r="C16" s="13" t="s">
        <v>135</v>
      </c>
      <c r="D16" s="11" t="s">
        <v>280</v>
      </c>
      <c r="E16" s="25" t="n">
        <f aca="false">Inputs!E16</f>
        <v>990</v>
      </c>
      <c r="I16" s="39" t="s">
        <v>142</v>
      </c>
    </row>
    <row r="17" customFormat="false" ht="15" hidden="false" customHeight="false" outlineLevel="0" collapsed="false">
      <c r="A17" s="11" t="n">
        <v>13</v>
      </c>
      <c r="B17" s="4" t="s">
        <v>143</v>
      </c>
      <c r="C17" s="13" t="s">
        <v>135</v>
      </c>
      <c r="D17" s="11" t="s">
        <v>280</v>
      </c>
      <c r="E17" s="25" t="n">
        <f aca="false">Inputs!E17</f>
        <v>429.6</v>
      </c>
      <c r="I17" s="39" t="s">
        <v>144</v>
      </c>
    </row>
    <row r="18" customFormat="false" ht="15" hidden="false" customHeight="false" outlineLevel="0" collapsed="false">
      <c r="A18" s="11" t="n">
        <v>14</v>
      </c>
      <c r="B18" s="4" t="s">
        <v>145</v>
      </c>
      <c r="C18" s="13" t="s">
        <v>59</v>
      </c>
      <c r="D18" s="11" t="s">
        <v>280</v>
      </c>
      <c r="E18" s="22" t="n">
        <f aca="false">Inputs!E18</f>
        <v>1.434</v>
      </c>
      <c r="I18" s="39" t="s">
        <v>146</v>
      </c>
    </row>
    <row r="19" customFormat="false" ht="15" hidden="false" customHeight="false" outlineLevel="0" collapsed="false">
      <c r="A19" s="11" t="n">
        <v>15</v>
      </c>
      <c r="B19" s="4" t="s">
        <v>147</v>
      </c>
      <c r="C19" s="13" t="s">
        <v>59</v>
      </c>
      <c r="D19" s="11" t="s">
        <v>281</v>
      </c>
      <c r="E19" s="19" t="n">
        <f aca="false">Inputs!E19</f>
        <v>0.75</v>
      </c>
      <c r="I19" s="39" t="s">
        <v>148</v>
      </c>
    </row>
    <row r="20" customFormat="false" ht="15" hidden="false" customHeight="false" outlineLevel="0" collapsed="false">
      <c r="A20" s="11" t="n">
        <v>16</v>
      </c>
      <c r="B20" s="4" t="s">
        <v>150</v>
      </c>
      <c r="C20" s="13" t="s">
        <v>63</v>
      </c>
      <c r="D20" s="11" t="s">
        <v>281</v>
      </c>
      <c r="E20" s="18" t="n">
        <f aca="false">Inputs!E22</f>
        <v>133500</v>
      </c>
      <c r="I20" s="39" t="s">
        <v>151</v>
      </c>
    </row>
    <row r="21" customFormat="false" ht="15" hidden="false" customHeight="false" outlineLevel="0" collapsed="false">
      <c r="A21" s="11" t="n">
        <v>17</v>
      </c>
      <c r="B21" s="4" t="s">
        <v>152</v>
      </c>
      <c r="C21" s="13" t="s">
        <v>63</v>
      </c>
      <c r="D21" s="11" t="s">
        <v>281</v>
      </c>
      <c r="E21" s="18" t="n">
        <f aca="false">Inputs!E23</f>
        <v>138500</v>
      </c>
      <c r="I21" s="39" t="s">
        <v>153</v>
      </c>
    </row>
    <row r="22" customFormat="false" ht="15" hidden="false" customHeight="false" outlineLevel="0" collapsed="false">
      <c r="A22" s="11" t="n">
        <v>18</v>
      </c>
      <c r="B22" s="4" t="s">
        <v>154</v>
      </c>
      <c r="C22" s="13" t="s">
        <v>135</v>
      </c>
      <c r="D22" s="11" t="s">
        <v>281</v>
      </c>
      <c r="E22" s="27" t="n">
        <f aca="false">Inputs!E24</f>
        <v>10</v>
      </c>
      <c r="I22" s="39"/>
    </row>
    <row r="23" customFormat="false" ht="15" hidden="false" customHeight="false" outlineLevel="0" collapsed="false">
      <c r="A23" s="11" t="n">
        <v>19</v>
      </c>
      <c r="B23" s="4" t="s">
        <v>155</v>
      </c>
      <c r="C23" s="13" t="s">
        <v>135</v>
      </c>
      <c r="D23" s="11" t="s">
        <v>281</v>
      </c>
      <c r="E23" s="27" t="n">
        <f aca="false">Inputs!E25</f>
        <v>50</v>
      </c>
      <c r="I23" s="39"/>
    </row>
    <row r="24" customFormat="false" ht="15" hidden="false" customHeight="false" outlineLevel="0" collapsed="false">
      <c r="A24" s="11" t="n">
        <v>20</v>
      </c>
      <c r="B24" s="4" t="s">
        <v>156</v>
      </c>
      <c r="C24" s="13" t="s">
        <v>135</v>
      </c>
      <c r="D24" s="11" t="s">
        <v>281</v>
      </c>
      <c r="E24" s="27" t="n">
        <f aca="false">Inputs!E26</f>
        <v>250.043</v>
      </c>
      <c r="I24" s="39" t="s">
        <v>157</v>
      </c>
    </row>
    <row r="25" customFormat="false" ht="15" hidden="false" customHeight="false" outlineLevel="0" collapsed="false">
      <c r="A25" s="11" t="n">
        <v>21</v>
      </c>
      <c r="B25" s="4" t="s">
        <v>159</v>
      </c>
      <c r="C25" s="13" t="s">
        <v>73</v>
      </c>
      <c r="D25" s="11" t="s">
        <v>282</v>
      </c>
      <c r="E25" s="28" t="n">
        <f aca="false">Inputs!E29</f>
        <v>0.23</v>
      </c>
      <c r="I25" s="39" t="s">
        <v>160</v>
      </c>
    </row>
    <row r="26" customFormat="false" ht="15" hidden="false" customHeight="false" outlineLevel="0" collapsed="false">
      <c r="A26" s="11" t="n">
        <v>22</v>
      </c>
      <c r="B26" s="4" t="s">
        <v>161</v>
      </c>
      <c r="C26" s="13" t="s">
        <v>135</v>
      </c>
      <c r="D26" s="11" t="s">
        <v>282</v>
      </c>
      <c r="E26" s="29" t="n">
        <f aca="false">Inputs!E30</f>
        <v>12</v>
      </c>
      <c r="I26" s="39" t="s">
        <v>162</v>
      </c>
    </row>
    <row r="27" customFormat="false" ht="15" hidden="false" customHeight="false" outlineLevel="0" collapsed="false">
      <c r="A27" s="11" t="n">
        <v>23</v>
      </c>
      <c r="B27" s="4" t="s">
        <v>163</v>
      </c>
      <c r="C27" s="13" t="s">
        <v>135</v>
      </c>
      <c r="D27" s="11" t="s">
        <v>282</v>
      </c>
      <c r="E27" s="29" t="n">
        <f aca="false">Inputs!E31</f>
        <v>9</v>
      </c>
      <c r="I27" s="39" t="s">
        <v>164</v>
      </c>
    </row>
    <row r="28" customFormat="false" ht="15" hidden="false" customHeight="false" outlineLevel="0" collapsed="false">
      <c r="A28" s="11" t="n">
        <v>24</v>
      </c>
      <c r="B28" s="4" t="s">
        <v>165</v>
      </c>
      <c r="C28" s="13" t="s">
        <v>135</v>
      </c>
      <c r="D28" s="11" t="s">
        <v>282</v>
      </c>
      <c r="E28" s="29" t="n">
        <f aca="false">Inputs!E32</f>
        <v>3.6</v>
      </c>
      <c r="I28" s="39" t="s">
        <v>166</v>
      </c>
    </row>
    <row r="29" customFormat="false" ht="15" hidden="false" customHeight="false" outlineLevel="0" collapsed="false">
      <c r="A29" s="11" t="n">
        <v>25</v>
      </c>
      <c r="B29" s="4" t="s">
        <v>167</v>
      </c>
      <c r="C29" s="13" t="s">
        <v>135</v>
      </c>
      <c r="D29" s="11" t="s">
        <v>282</v>
      </c>
      <c r="E29" s="29" t="n">
        <f aca="false">Inputs!E33</f>
        <v>43</v>
      </c>
      <c r="I29" s="39" t="s">
        <v>168</v>
      </c>
    </row>
    <row r="30" customFormat="false" ht="15" hidden="false" customHeight="false" outlineLevel="0" collapsed="false">
      <c r="A30" s="11" t="n">
        <v>26</v>
      </c>
      <c r="B30" s="4" t="s">
        <v>169</v>
      </c>
      <c r="C30" s="13" t="s">
        <v>135</v>
      </c>
      <c r="D30" s="11" t="s">
        <v>282</v>
      </c>
      <c r="E30" s="29" t="n">
        <f aca="false">Inputs!E34</f>
        <v>9</v>
      </c>
      <c r="I30" s="39" t="s">
        <v>170</v>
      </c>
    </row>
    <row r="31" customFormat="false" ht="15" hidden="false" customHeight="false" outlineLevel="0" collapsed="false">
      <c r="A31" s="11" t="n">
        <v>27</v>
      </c>
      <c r="B31" s="4" t="s">
        <v>171</v>
      </c>
      <c r="C31" s="13" t="s">
        <v>73</v>
      </c>
      <c r="D31" s="11" t="s">
        <v>282</v>
      </c>
      <c r="E31" s="28" t="n">
        <f aca="false">Inputs!E35</f>
        <v>0.05</v>
      </c>
      <c r="I31" s="39" t="s">
        <v>172</v>
      </c>
    </row>
    <row r="32" customFormat="false" ht="15" hidden="false" customHeight="false" outlineLevel="0" collapsed="false">
      <c r="A32" s="11" t="n">
        <v>28</v>
      </c>
      <c r="B32" s="4" t="s">
        <v>173</v>
      </c>
      <c r="C32" s="13" t="s">
        <v>135</v>
      </c>
      <c r="D32" s="11" t="s">
        <v>282</v>
      </c>
      <c r="E32" s="29" t="n">
        <f aca="false">Inputs!E36</f>
        <v>190</v>
      </c>
      <c r="I32" s="39" t="s">
        <v>174</v>
      </c>
    </row>
    <row r="33" customFormat="false" ht="15" hidden="false" customHeight="false" outlineLevel="0" collapsed="false">
      <c r="A33" s="11" t="n">
        <v>29</v>
      </c>
      <c r="B33" s="4" t="s">
        <v>175</v>
      </c>
      <c r="C33" s="13" t="s">
        <v>135</v>
      </c>
      <c r="D33" s="11" t="s">
        <v>282</v>
      </c>
      <c r="E33" s="29" t="n">
        <f aca="false">Inputs!E37</f>
        <v>185</v>
      </c>
      <c r="I33" s="39"/>
    </row>
    <row r="34" customFormat="false" ht="15" hidden="false" customHeight="false" outlineLevel="0" collapsed="false">
      <c r="A34" s="11" t="n">
        <v>30</v>
      </c>
      <c r="B34" s="4" t="s">
        <v>176</v>
      </c>
      <c r="C34" s="13" t="s">
        <v>73</v>
      </c>
      <c r="D34" s="11" t="s">
        <v>282</v>
      </c>
      <c r="E34" s="28" t="n">
        <f aca="false">Inputs!E38</f>
        <v>0.6</v>
      </c>
      <c r="I34" s="39" t="s">
        <v>177</v>
      </c>
    </row>
    <row r="35" customFormat="false" ht="15" hidden="false" customHeight="false" outlineLevel="0" collapsed="false">
      <c r="A35" s="11" t="n">
        <v>31</v>
      </c>
      <c r="B35" s="4" t="s">
        <v>178</v>
      </c>
      <c r="C35" s="13" t="s">
        <v>73</v>
      </c>
      <c r="D35" s="11" t="s">
        <v>282</v>
      </c>
      <c r="E35" s="28" t="n">
        <f aca="false">Inputs!E39</f>
        <v>0.28</v>
      </c>
      <c r="I35" s="39" t="s">
        <v>179</v>
      </c>
    </row>
    <row r="36" customFormat="false" ht="15" hidden="false" customHeight="false" outlineLevel="0" collapsed="false">
      <c r="A36" s="11" t="n">
        <v>32</v>
      </c>
      <c r="B36" s="4" t="s">
        <v>180</v>
      </c>
      <c r="C36" s="13" t="s">
        <v>73</v>
      </c>
      <c r="D36" s="11" t="s">
        <v>282</v>
      </c>
      <c r="E36" s="28" t="n">
        <f aca="false">Inputs!E40</f>
        <v>0.29</v>
      </c>
      <c r="I36" s="39"/>
    </row>
    <row r="37" customFormat="false" ht="15" hidden="false" customHeight="false" outlineLevel="0" collapsed="false">
      <c r="A37" s="11" t="n">
        <v>33</v>
      </c>
      <c r="B37" s="4" t="s">
        <v>181</v>
      </c>
      <c r="C37" s="13" t="s">
        <v>73</v>
      </c>
      <c r="D37" s="11" t="s">
        <v>282</v>
      </c>
      <c r="E37" s="28" t="n">
        <f aca="false">Inputs!E41</f>
        <v>0.26</v>
      </c>
      <c r="I37" s="39"/>
    </row>
    <row r="38" customFormat="false" ht="15" hidden="false" customHeight="false" outlineLevel="0" collapsed="false">
      <c r="A38" s="11" t="n">
        <v>34</v>
      </c>
      <c r="B38" s="4" t="s">
        <v>182</v>
      </c>
      <c r="C38" s="13" t="s">
        <v>73</v>
      </c>
      <c r="D38" s="11" t="s">
        <v>283</v>
      </c>
      <c r="E38" s="30" t="n">
        <f aca="false">Inputs!E42</f>
        <v>0.17</v>
      </c>
      <c r="I38" s="39" t="s">
        <v>183</v>
      </c>
    </row>
    <row r="39" customFormat="false" ht="15" hidden="false" customHeight="false" outlineLevel="0" collapsed="false">
      <c r="A39" s="11" t="n">
        <v>35</v>
      </c>
      <c r="B39" s="4" t="s">
        <v>184</v>
      </c>
      <c r="C39" s="13" t="s">
        <v>73</v>
      </c>
      <c r="D39" s="11" t="s">
        <v>282</v>
      </c>
      <c r="E39" s="28" t="n">
        <f aca="false">Inputs!E43</f>
        <v>0.02</v>
      </c>
      <c r="I39" s="39"/>
    </row>
    <row r="40" customFormat="false" ht="15" hidden="false" customHeight="false" outlineLevel="0" collapsed="false">
      <c r="A40" s="11" t="n">
        <v>36</v>
      </c>
      <c r="B40" s="4" t="s">
        <v>185</v>
      </c>
      <c r="C40" s="13" t="s">
        <v>73</v>
      </c>
      <c r="D40" s="11" t="s">
        <v>282</v>
      </c>
      <c r="E40" s="28" t="n">
        <f aca="false">Inputs!E44</f>
        <v>0</v>
      </c>
      <c r="I40" s="39" t="s">
        <v>186</v>
      </c>
    </row>
    <row r="41" customFormat="false" ht="15" hidden="false" customHeight="false" outlineLevel="0" collapsed="false">
      <c r="A41" s="11" t="n">
        <v>37</v>
      </c>
      <c r="B41" s="4" t="s">
        <v>187</v>
      </c>
      <c r="C41" s="13" t="s">
        <v>73</v>
      </c>
      <c r="D41" s="11" t="s">
        <v>282</v>
      </c>
      <c r="E41" s="28" t="n">
        <f aca="false">Inputs!E45</f>
        <v>0.04</v>
      </c>
      <c r="I41" s="39" t="s">
        <v>188</v>
      </c>
    </row>
    <row r="42" customFormat="false" ht="22.35" hidden="false" customHeight="false" outlineLevel="0" collapsed="false">
      <c r="A42" s="11" t="n">
        <v>38</v>
      </c>
      <c r="B42" s="4" t="s">
        <v>189</v>
      </c>
      <c r="C42" s="13" t="s">
        <v>135</v>
      </c>
      <c r="D42" s="11" t="s">
        <v>281</v>
      </c>
      <c r="E42" s="27" t="n">
        <f aca="false">Inputs!E46</f>
        <v>1283.3</v>
      </c>
      <c r="I42" s="39" t="s">
        <v>190</v>
      </c>
    </row>
    <row r="43" customFormat="false" ht="15" hidden="false" customHeight="false" outlineLevel="0" collapsed="false">
      <c r="A43" s="11" t="n">
        <v>39</v>
      </c>
      <c r="B43" s="4" t="s">
        <v>191</v>
      </c>
      <c r="C43" s="13" t="s">
        <v>135</v>
      </c>
      <c r="D43" s="11" t="s">
        <v>281</v>
      </c>
      <c r="E43" s="27" t="n">
        <f aca="false">Inputs!E47</f>
        <v>297.342</v>
      </c>
      <c r="I43" s="39" t="s">
        <v>192</v>
      </c>
    </row>
    <row r="44" customFormat="false" ht="15" hidden="false" customHeight="false" outlineLevel="0" collapsed="false">
      <c r="A44" s="11" t="n">
        <v>40</v>
      </c>
      <c r="B44" s="4" t="s">
        <v>193</v>
      </c>
      <c r="C44" s="13" t="s">
        <v>135</v>
      </c>
      <c r="D44" s="11" t="s">
        <v>283</v>
      </c>
      <c r="E44" s="31" t="n">
        <f aca="false">Inputs!E48</f>
        <v>985.958</v>
      </c>
      <c r="I44" s="39" t="s">
        <v>194</v>
      </c>
    </row>
    <row r="45" customFormat="false" ht="15" hidden="false" customHeight="false" outlineLevel="0" collapsed="false">
      <c r="A45" s="11" t="n">
        <v>41</v>
      </c>
      <c r="B45" s="4" t="s">
        <v>195</v>
      </c>
      <c r="C45" s="13" t="s">
        <v>135</v>
      </c>
      <c r="D45" s="11" t="s">
        <v>282</v>
      </c>
      <c r="E45" s="29" t="n">
        <f aca="false">Inputs!E49</f>
        <v>50</v>
      </c>
      <c r="I45" s="39" t="s">
        <v>196</v>
      </c>
    </row>
    <row r="46" customFormat="false" ht="15" hidden="false" customHeight="false" outlineLevel="0" collapsed="false">
      <c r="A46" s="11" t="n">
        <v>42</v>
      </c>
      <c r="B46" s="4" t="s">
        <v>197</v>
      </c>
      <c r="C46" s="13" t="s">
        <v>120</v>
      </c>
      <c r="D46" s="11" t="s">
        <v>282</v>
      </c>
      <c r="E46" s="29" t="n">
        <f aca="false">Inputs!E50</f>
        <v>105</v>
      </c>
      <c r="I46" s="39" t="s">
        <v>198</v>
      </c>
    </row>
    <row r="47" customFormat="false" ht="15" hidden="false" customHeight="false" outlineLevel="0" collapsed="false">
      <c r="A47" s="11" t="n">
        <v>43</v>
      </c>
      <c r="B47" s="4" t="s">
        <v>199</v>
      </c>
      <c r="C47" s="13" t="s">
        <v>200</v>
      </c>
      <c r="D47" s="11" t="s">
        <v>282</v>
      </c>
      <c r="E47" s="32" t="n">
        <f aca="false">Inputs!E51</f>
        <v>0.75</v>
      </c>
      <c r="I47" s="39" t="s">
        <v>201</v>
      </c>
    </row>
    <row r="48" customFormat="false" ht="15" hidden="false" customHeight="false" outlineLevel="0" collapsed="false">
      <c r="A48" s="11" t="n">
        <v>44</v>
      </c>
      <c r="B48" s="4" t="s">
        <v>202</v>
      </c>
      <c r="C48" s="13" t="s">
        <v>200</v>
      </c>
      <c r="D48" s="11" t="s">
        <v>282</v>
      </c>
      <c r="E48" s="32" t="n">
        <f aca="false">Inputs!E52</f>
        <v>0.5</v>
      </c>
      <c r="I48" s="39" t="s">
        <v>203</v>
      </c>
    </row>
    <row r="49" customFormat="false" ht="15" hidden="false" customHeight="false" outlineLevel="0" collapsed="false">
      <c r="A49" s="11" t="n">
        <v>45</v>
      </c>
      <c r="B49" s="4" t="s">
        <v>204</v>
      </c>
      <c r="C49" s="13" t="s">
        <v>205</v>
      </c>
      <c r="D49" s="11" t="s">
        <v>282</v>
      </c>
      <c r="E49" s="33" t="n">
        <f aca="false">Inputs!E53</f>
        <v>1</v>
      </c>
      <c r="I49" s="39" t="s">
        <v>206</v>
      </c>
    </row>
    <row r="50" customFormat="false" ht="15" hidden="false" customHeight="false" outlineLevel="0" collapsed="false">
      <c r="A50" s="11" t="n">
        <v>46</v>
      </c>
      <c r="B50" s="4" t="s">
        <v>207</v>
      </c>
      <c r="C50" s="13" t="s">
        <v>73</v>
      </c>
      <c r="D50" s="11" t="s">
        <v>282</v>
      </c>
      <c r="E50" s="28" t="n">
        <f aca="false">Inputs!E54</f>
        <v>0.15</v>
      </c>
      <c r="I50" s="39" t="s">
        <v>208</v>
      </c>
    </row>
    <row r="51" customFormat="false" ht="15" hidden="false" customHeight="false" outlineLevel="0" collapsed="false">
      <c r="A51" s="11" t="n">
        <v>47</v>
      </c>
      <c r="B51" s="4" t="s">
        <v>210</v>
      </c>
      <c r="C51" s="13" t="s">
        <v>73</v>
      </c>
      <c r="D51" s="11" t="s">
        <v>283</v>
      </c>
      <c r="E51" s="30" t="n">
        <f aca="false">Inputs!E57</f>
        <v>0.46742843879358</v>
      </c>
      <c r="I51" s="39" t="s">
        <v>211</v>
      </c>
    </row>
    <row r="52" customFormat="false" ht="15" hidden="false" customHeight="false" outlineLevel="0" collapsed="false">
      <c r="A52" s="11" t="n">
        <v>48</v>
      </c>
      <c r="B52" s="4" t="s">
        <v>212</v>
      </c>
      <c r="C52" s="13" t="s">
        <v>135</v>
      </c>
      <c r="D52" s="11" t="s">
        <v>283</v>
      </c>
      <c r="E52" s="31" t="n">
        <f aca="false">Inputs!E58</f>
        <v>207.404160012575</v>
      </c>
      <c r="I52" s="39" t="s">
        <v>213</v>
      </c>
    </row>
    <row r="53" customFormat="false" ht="15" hidden="false" customHeight="false" outlineLevel="0" collapsed="false">
      <c r="A53" s="11" t="n">
        <v>49</v>
      </c>
      <c r="B53" s="4" t="s">
        <v>214</v>
      </c>
      <c r="C53" s="13"/>
      <c r="D53" s="11" t="s">
        <v>283</v>
      </c>
      <c r="E53" s="34" t="n">
        <f aca="false">Inputs!E59</f>
        <v>0.987180307302356</v>
      </c>
      <c r="I53" s="39"/>
    </row>
    <row r="54" customFormat="false" ht="15" hidden="false" customHeight="false" outlineLevel="0" collapsed="false">
      <c r="A54" s="11" t="n">
        <v>50</v>
      </c>
      <c r="B54" s="4" t="s">
        <v>215</v>
      </c>
      <c r="C54" s="13" t="s">
        <v>39</v>
      </c>
      <c r="D54" s="11" t="s">
        <v>283</v>
      </c>
      <c r="E54" s="35" t="n">
        <f aca="false">Inputs!E60</f>
        <v>22.016508940709</v>
      </c>
      <c r="I54" s="39" t="s">
        <v>216</v>
      </c>
    </row>
    <row r="55" customFormat="false" ht="15" hidden="false" customHeight="false" outlineLevel="0" collapsed="false">
      <c r="A55" s="11" t="n">
        <v>51</v>
      </c>
      <c r="B55" s="4" t="s">
        <v>217</v>
      </c>
      <c r="C55" s="13" t="s">
        <v>138</v>
      </c>
      <c r="D55" s="11" t="s">
        <v>283</v>
      </c>
      <c r="E55" s="34" t="n">
        <f aca="false">Inputs!E61</f>
        <v>1.04299820806146</v>
      </c>
      <c r="I55" s="39"/>
    </row>
    <row r="56" customFormat="false" ht="15" hidden="false" customHeight="false" outlineLevel="0" collapsed="false">
      <c r="A56" s="11" t="n">
        <v>52</v>
      </c>
      <c r="B56" s="4" t="s">
        <v>222</v>
      </c>
      <c r="C56" s="13" t="s">
        <v>73</v>
      </c>
      <c r="D56" s="11" t="s">
        <v>284</v>
      </c>
      <c r="F56" s="28" t="n">
        <f aca="false">Inputs!D65</f>
        <v>0.4</v>
      </c>
      <c r="G56" s="28" t="n">
        <f aca="false">Inputs!E65</f>
        <v>0.4</v>
      </c>
      <c r="H56" s="28" t="n">
        <f aca="false">Inputs!F65</f>
        <v>0.2</v>
      </c>
      <c r="I56" s="39" t="s">
        <v>223</v>
      </c>
    </row>
    <row r="57" customFormat="false" ht="15" hidden="false" customHeight="false" outlineLevel="0" collapsed="false">
      <c r="A57" s="11" t="n">
        <v>53</v>
      </c>
      <c r="B57" s="4" t="s">
        <v>224</v>
      </c>
      <c r="C57" s="13" t="s">
        <v>73</v>
      </c>
      <c r="D57" s="11" t="s">
        <v>284</v>
      </c>
      <c r="F57" s="28" t="n">
        <f aca="false">Inputs!D66</f>
        <v>-0.03</v>
      </c>
      <c r="G57" s="28" t="n">
        <f aca="false">Inputs!E66</f>
        <v>0.04</v>
      </c>
      <c r="H57" s="28" t="n">
        <f aca="false">Inputs!F66</f>
        <v>0.08</v>
      </c>
      <c r="I57" s="39" t="s">
        <v>225</v>
      </c>
    </row>
    <row r="58" customFormat="false" ht="15" hidden="false" customHeight="false" outlineLevel="0" collapsed="false">
      <c r="A58" s="11" t="n">
        <v>54</v>
      </c>
      <c r="B58" s="4" t="s">
        <v>226</v>
      </c>
      <c r="C58" s="13" t="s">
        <v>73</v>
      </c>
      <c r="D58" s="11" t="s">
        <v>284</v>
      </c>
      <c r="F58" s="28" t="n">
        <f aca="false">Inputs!D67</f>
        <v>-0.05</v>
      </c>
      <c r="G58" s="28" t="n">
        <f aca="false">Inputs!E67</f>
        <v>0.01</v>
      </c>
      <c r="H58" s="28" t="n">
        <f aca="false">Inputs!F67</f>
        <v>0.04</v>
      </c>
      <c r="I58" s="39" t="s">
        <v>227</v>
      </c>
    </row>
    <row r="59" customFormat="false" ht="15" hidden="false" customHeight="false" outlineLevel="0" collapsed="false">
      <c r="A59" s="11" t="n">
        <v>55</v>
      </c>
      <c r="B59" s="4" t="s">
        <v>228</v>
      </c>
      <c r="C59" s="13" t="s">
        <v>73</v>
      </c>
      <c r="D59" s="11" t="s">
        <v>284</v>
      </c>
      <c r="F59" s="28" t="n">
        <f aca="false">Inputs!D68</f>
        <v>-0.03</v>
      </c>
      <c r="G59" s="28" t="n">
        <f aca="false">Inputs!E68</f>
        <v>0</v>
      </c>
      <c r="H59" s="28" t="n">
        <f aca="false">Inputs!F68</f>
        <v>0.03</v>
      </c>
      <c r="I59" s="39"/>
    </row>
    <row r="60" customFormat="false" ht="15" hidden="false" customHeight="false" outlineLevel="0" collapsed="false">
      <c r="A60" s="11" t="n">
        <v>56</v>
      </c>
      <c r="B60" s="4" t="s">
        <v>229</v>
      </c>
      <c r="C60" s="13" t="s">
        <v>73</v>
      </c>
      <c r="D60" s="11" t="s">
        <v>284</v>
      </c>
      <c r="F60" s="28" t="n">
        <f aca="false">Inputs!D69</f>
        <v>-0.02</v>
      </c>
      <c r="G60" s="28" t="n">
        <f aca="false">Inputs!E69</f>
        <v>0</v>
      </c>
      <c r="H60" s="28" t="n">
        <f aca="false">Inputs!F69</f>
        <v>0.02</v>
      </c>
      <c r="I60" s="39"/>
    </row>
    <row r="61" customFormat="false" ht="15" hidden="false" customHeight="false" outlineLevel="0" collapsed="false">
      <c r="A61" s="11" t="n">
        <v>57</v>
      </c>
      <c r="B61" s="4" t="s">
        <v>230</v>
      </c>
      <c r="C61" s="13" t="s">
        <v>63</v>
      </c>
      <c r="D61" s="11" t="s">
        <v>284</v>
      </c>
      <c r="F61" s="36" t="n">
        <f aca="false">Inputs!D70</f>
        <v>130000</v>
      </c>
      <c r="G61" s="36" t="n">
        <f aca="false">Inputs!E70</f>
        <v>136000</v>
      </c>
      <c r="H61" s="36" t="n">
        <f aca="false">Inputs!F70</f>
        <v>139000</v>
      </c>
      <c r="I61" s="39" t="s">
        <v>231</v>
      </c>
    </row>
    <row r="62" customFormat="false" ht="15" hidden="false" customHeight="false" outlineLevel="0" collapsed="false">
      <c r="A62" s="11" t="n">
        <v>58</v>
      </c>
      <c r="B62" s="4" t="s">
        <v>232</v>
      </c>
      <c r="C62" s="13" t="s">
        <v>73</v>
      </c>
      <c r="D62" s="11" t="s">
        <v>284</v>
      </c>
      <c r="F62" s="28" t="n">
        <f aca="false">Inputs!D71</f>
        <v>-0.04</v>
      </c>
      <c r="G62" s="28" t="n">
        <f aca="false">Inputs!E71</f>
        <v>0.01</v>
      </c>
      <c r="H62" s="28" t="n">
        <f aca="false">Inputs!F71</f>
        <v>0.02</v>
      </c>
      <c r="I62" s="39" t="s">
        <v>233</v>
      </c>
    </row>
    <row r="63" customFormat="false" ht="15" hidden="false" customHeight="false" outlineLevel="0" collapsed="false">
      <c r="A63" s="11" t="n">
        <v>59</v>
      </c>
      <c r="B63" s="4" t="s">
        <v>234</v>
      </c>
      <c r="C63" s="13" t="s">
        <v>73</v>
      </c>
      <c r="D63" s="11" t="s">
        <v>284</v>
      </c>
      <c r="F63" s="28" t="n">
        <f aca="false">Inputs!D72</f>
        <v>-0.01</v>
      </c>
      <c r="G63" s="28" t="n">
        <f aca="false">Inputs!E72</f>
        <v>0</v>
      </c>
      <c r="H63" s="28" t="n">
        <f aca="false">Inputs!F72</f>
        <v>0.01</v>
      </c>
      <c r="I63" s="39"/>
    </row>
    <row r="64" customFormat="false" ht="15" hidden="false" customHeight="false" outlineLevel="0" collapsed="false">
      <c r="A64" s="11" t="n">
        <v>60</v>
      </c>
      <c r="B64" s="4" t="s">
        <v>235</v>
      </c>
      <c r="C64" s="13" t="s">
        <v>73</v>
      </c>
      <c r="D64" s="11" t="s">
        <v>284</v>
      </c>
      <c r="F64" s="28" t="n">
        <f aca="false">Inputs!D73</f>
        <v>0</v>
      </c>
      <c r="G64" s="28" t="n">
        <f aca="false">Inputs!E73</f>
        <v>0</v>
      </c>
      <c r="H64" s="28" t="n">
        <f aca="false">Inputs!F73</f>
        <v>0</v>
      </c>
      <c r="I64" s="39"/>
    </row>
    <row r="65" customFormat="false" ht="15" hidden="false" customHeight="false" outlineLevel="0" collapsed="false">
      <c r="A65" s="11" t="n">
        <v>61</v>
      </c>
      <c r="B65" s="4" t="s">
        <v>236</v>
      </c>
      <c r="C65" s="13" t="s">
        <v>73</v>
      </c>
      <c r="D65" s="11" t="s">
        <v>284</v>
      </c>
      <c r="F65" s="28" t="n">
        <f aca="false">Inputs!D74</f>
        <v>-0.02</v>
      </c>
      <c r="G65" s="28" t="n">
        <f aca="false">Inputs!E74</f>
        <v>0</v>
      </c>
      <c r="H65" s="28" t="n">
        <f aca="false">Inputs!F74</f>
        <v>0.01</v>
      </c>
      <c r="I65" s="39" t="s">
        <v>237</v>
      </c>
    </row>
    <row r="66" customFormat="false" ht="15" hidden="false" customHeight="false" outlineLevel="0" collapsed="false">
      <c r="A66" s="11" t="n">
        <v>62</v>
      </c>
      <c r="B66" s="4" t="s">
        <v>238</v>
      </c>
      <c r="C66" s="13" t="s">
        <v>73</v>
      </c>
      <c r="D66" s="11" t="s">
        <v>284</v>
      </c>
      <c r="F66" s="28" t="n">
        <f aca="false">Inputs!D75</f>
        <v>-0.04</v>
      </c>
      <c r="G66" s="28" t="n">
        <f aca="false">Inputs!E75</f>
        <v>-0.01</v>
      </c>
      <c r="H66" s="28" t="n">
        <f aca="false">Inputs!F75</f>
        <v>0</v>
      </c>
      <c r="I66" s="39" t="s">
        <v>239</v>
      </c>
    </row>
    <row r="67" customFormat="false" ht="15" hidden="false" customHeight="false" outlineLevel="0" collapsed="false">
      <c r="A67" s="11" t="n">
        <v>63</v>
      </c>
      <c r="B67" s="4" t="s">
        <v>240</v>
      </c>
      <c r="C67" s="13" t="s">
        <v>73</v>
      </c>
      <c r="D67" s="11" t="s">
        <v>284</v>
      </c>
      <c r="F67" s="28" t="n">
        <f aca="false">Inputs!D76</f>
        <v>-0.02</v>
      </c>
      <c r="G67" s="28" t="n">
        <f aca="false">Inputs!E76</f>
        <v>0</v>
      </c>
      <c r="H67" s="28" t="n">
        <f aca="false">Inputs!F76</f>
        <v>0.02</v>
      </c>
      <c r="I67" s="39"/>
    </row>
    <row r="68" customFormat="false" ht="15" hidden="false" customHeight="false" outlineLevel="0" collapsed="false">
      <c r="A68" s="11" t="n">
        <v>64</v>
      </c>
      <c r="B68" s="4" t="s">
        <v>241</v>
      </c>
      <c r="C68" s="13" t="s">
        <v>73</v>
      </c>
      <c r="D68" s="11" t="s">
        <v>284</v>
      </c>
      <c r="F68" s="28" t="n">
        <f aca="false">Inputs!D77</f>
        <v>-0.01</v>
      </c>
      <c r="G68" s="28" t="n">
        <f aca="false">Inputs!E77</f>
        <v>0.01</v>
      </c>
      <c r="H68" s="28" t="n">
        <f aca="false">Inputs!F77</f>
        <v>0.02</v>
      </c>
      <c r="I68" s="39"/>
    </row>
    <row r="69" customFormat="false" ht="15" hidden="false" customHeight="false" outlineLevel="0" collapsed="false">
      <c r="A69" s="11" t="n">
        <v>65</v>
      </c>
      <c r="B69" s="4" t="s">
        <v>242</v>
      </c>
      <c r="C69" s="13" t="s">
        <v>73</v>
      </c>
      <c r="D69" s="11" t="s">
        <v>284</v>
      </c>
      <c r="F69" s="28" t="n">
        <f aca="false">Inputs!D78</f>
        <v>-0.05</v>
      </c>
      <c r="G69" s="28" t="n">
        <f aca="false">Inputs!E78</f>
        <v>-0.01</v>
      </c>
      <c r="H69" s="28" t="n">
        <f aca="false">Inputs!F78</f>
        <v>0.03</v>
      </c>
      <c r="I69" s="39" t="s">
        <v>243</v>
      </c>
    </row>
    <row r="70" customFormat="false" ht="15" hidden="false" customHeight="false" outlineLevel="0" collapsed="false">
      <c r="A70" s="11" t="n">
        <v>66</v>
      </c>
      <c r="B70" s="4" t="s">
        <v>244</v>
      </c>
      <c r="C70" s="13" t="s">
        <v>73</v>
      </c>
      <c r="D70" s="11" t="s">
        <v>284</v>
      </c>
      <c r="F70" s="28" t="n">
        <f aca="false">Inputs!D79</f>
        <v>-0.015</v>
      </c>
      <c r="G70" s="28" t="n">
        <f aca="false">Inputs!E79</f>
        <v>-0.005</v>
      </c>
      <c r="H70" s="28" t="n">
        <f aca="false">Inputs!F79</f>
        <v>0.005</v>
      </c>
      <c r="I70" s="39" t="s">
        <v>245</v>
      </c>
    </row>
    <row r="71" customFormat="false" ht="15" hidden="false" customHeight="false" outlineLevel="0" collapsed="false">
      <c r="A71" s="11" t="n">
        <v>67</v>
      </c>
      <c r="B71" s="4" t="s">
        <v>246</v>
      </c>
      <c r="C71" s="13" t="s">
        <v>73</v>
      </c>
      <c r="D71" s="11" t="s">
        <v>284</v>
      </c>
      <c r="F71" s="28" t="n">
        <f aca="false">Inputs!D80</f>
        <v>-0.02</v>
      </c>
      <c r="G71" s="28" t="n">
        <f aca="false">Inputs!E80</f>
        <v>-0.005</v>
      </c>
      <c r="H71" s="28" t="n">
        <f aca="false">Inputs!F80</f>
        <v>0.01</v>
      </c>
      <c r="I71" s="39" t="s">
        <v>247</v>
      </c>
    </row>
    <row r="72" customFormat="false" ht="15" hidden="false" customHeight="false" outlineLevel="0" collapsed="false">
      <c r="A72" s="11" t="n">
        <v>68</v>
      </c>
      <c r="B72" s="4" t="s">
        <v>248</v>
      </c>
      <c r="C72" s="13" t="s">
        <v>73</v>
      </c>
      <c r="D72" s="11" t="s">
        <v>284</v>
      </c>
      <c r="F72" s="28" t="n">
        <f aca="false">Inputs!D81</f>
        <v>0.02</v>
      </c>
      <c r="G72" s="28" t="n">
        <f aca="false">Inputs!E81</f>
        <v>0.01</v>
      </c>
      <c r="H72" s="28" t="n">
        <f aca="false">Inputs!F81</f>
        <v>0</v>
      </c>
      <c r="I72" s="39" t="s">
        <v>249</v>
      </c>
    </row>
    <row r="73" customFormat="false" ht="15" hidden="false" customHeight="false" outlineLevel="0" collapsed="false">
      <c r="A73" s="11" t="n">
        <v>69</v>
      </c>
      <c r="B73" s="4" t="s">
        <v>250</v>
      </c>
      <c r="C73" s="13" t="s">
        <v>135</v>
      </c>
      <c r="D73" s="11" t="s">
        <v>284</v>
      </c>
      <c r="F73" s="29" t="n">
        <f aca="false">Inputs!D82</f>
        <v>-80</v>
      </c>
      <c r="G73" s="29" t="n">
        <f aca="false">Inputs!E82</f>
        <v>-75</v>
      </c>
      <c r="H73" s="29" t="n">
        <f aca="false">Inputs!F82</f>
        <v>-70</v>
      </c>
      <c r="I73" s="39" t="s">
        <v>251</v>
      </c>
    </row>
    <row r="74" customFormat="false" ht="15" hidden="false" customHeight="false" outlineLevel="0" collapsed="false">
      <c r="A74" s="11" t="n">
        <v>70</v>
      </c>
      <c r="B74" s="4" t="s">
        <v>252</v>
      </c>
      <c r="C74" s="13" t="s">
        <v>135</v>
      </c>
      <c r="D74" s="11" t="s">
        <v>284</v>
      </c>
      <c r="F74" s="29" t="n">
        <f aca="false">Inputs!D83</f>
        <v>-80</v>
      </c>
      <c r="G74" s="29" t="n">
        <f aca="false">Inputs!E83</f>
        <v>-65</v>
      </c>
      <c r="H74" s="29" t="n">
        <f aca="false">Inputs!F83</f>
        <v>-55</v>
      </c>
      <c r="I74" s="39"/>
    </row>
    <row r="75" customFormat="false" ht="15" hidden="false" customHeight="false" outlineLevel="0" collapsed="false">
      <c r="A75" s="11" t="n">
        <v>71</v>
      </c>
      <c r="B75" s="4" t="s">
        <v>253</v>
      </c>
      <c r="C75" s="13" t="s">
        <v>135</v>
      </c>
      <c r="D75" s="11" t="s">
        <v>284</v>
      </c>
      <c r="F75" s="29" t="n">
        <f aca="false">Inputs!D84</f>
        <v>-75</v>
      </c>
      <c r="G75" s="29" t="n">
        <f aca="false">Inputs!E84</f>
        <v>-55</v>
      </c>
      <c r="H75" s="29" t="n">
        <f aca="false">Inputs!F84</f>
        <v>-40</v>
      </c>
      <c r="I75" s="39"/>
    </row>
    <row r="76" customFormat="false" ht="15" hidden="false" customHeight="false" outlineLevel="0" collapsed="false">
      <c r="A76" s="11" t="n">
        <v>72</v>
      </c>
      <c r="B76" s="4" t="s">
        <v>254</v>
      </c>
      <c r="C76" s="13" t="s">
        <v>135</v>
      </c>
      <c r="D76" s="11" t="s">
        <v>284</v>
      </c>
      <c r="F76" s="29" t="n">
        <f aca="false">Inputs!D85</f>
        <v>-70</v>
      </c>
      <c r="G76" s="29" t="n">
        <f aca="false">Inputs!E85</f>
        <v>-45</v>
      </c>
      <c r="H76" s="29" t="n">
        <f aca="false">Inputs!F85</f>
        <v>-30</v>
      </c>
      <c r="I76" s="39"/>
    </row>
    <row r="77" customFormat="false" ht="15" hidden="false" customHeight="false" outlineLevel="0" collapsed="false">
      <c r="A77" s="11" t="n">
        <v>73</v>
      </c>
      <c r="B77" s="4" t="s">
        <v>255</v>
      </c>
      <c r="C77" s="13" t="s">
        <v>73</v>
      </c>
      <c r="D77" s="11" t="s">
        <v>284</v>
      </c>
      <c r="F77" s="28" t="n">
        <f aca="false">Inputs!D86</f>
        <v>0</v>
      </c>
      <c r="G77" s="28" t="n">
        <f aca="false">Inputs!E86</f>
        <v>0.2</v>
      </c>
      <c r="H77" s="28" t="n">
        <f aca="false">Inputs!F86</f>
        <v>0.4</v>
      </c>
      <c r="I77" s="39"/>
    </row>
    <row r="78" customFormat="false" ht="15" hidden="false" customHeight="false" outlineLevel="0" collapsed="false">
      <c r="A78" s="11" t="n">
        <v>74</v>
      </c>
      <c r="B78" s="4" t="s">
        <v>256</v>
      </c>
      <c r="C78" s="13" t="s">
        <v>135</v>
      </c>
      <c r="D78" s="11" t="s">
        <v>284</v>
      </c>
      <c r="F78" s="29" t="n">
        <f aca="false">Inputs!D87</f>
        <v>55</v>
      </c>
      <c r="G78" s="29" t="n">
        <f aca="false">Inputs!E87</f>
        <v>60</v>
      </c>
      <c r="H78" s="29" t="n">
        <f aca="false">Inputs!F87</f>
        <v>65</v>
      </c>
      <c r="I78" s="39" t="s">
        <v>257</v>
      </c>
    </row>
    <row r="79" customFormat="false" ht="15" hidden="false" customHeight="false" outlineLevel="0" collapsed="false">
      <c r="A79" s="11" t="n">
        <v>75</v>
      </c>
      <c r="B79" s="4" t="s">
        <v>258</v>
      </c>
      <c r="C79" s="13" t="s">
        <v>135</v>
      </c>
      <c r="D79" s="11" t="s">
        <v>284</v>
      </c>
      <c r="F79" s="29" t="n">
        <f aca="false">Inputs!D88</f>
        <v>50</v>
      </c>
      <c r="G79" s="29" t="n">
        <f aca="false">Inputs!E88</f>
        <v>65</v>
      </c>
      <c r="H79" s="29" t="n">
        <f aca="false">Inputs!F88</f>
        <v>75</v>
      </c>
      <c r="I79" s="39"/>
    </row>
    <row r="80" customFormat="false" ht="15" hidden="false" customHeight="false" outlineLevel="0" collapsed="false">
      <c r="A80" s="11" t="n">
        <v>76</v>
      </c>
      <c r="B80" s="4" t="s">
        <v>259</v>
      </c>
      <c r="C80" s="13" t="s">
        <v>135</v>
      </c>
      <c r="D80" s="11" t="s">
        <v>284</v>
      </c>
      <c r="F80" s="29" t="n">
        <f aca="false">Inputs!D89</f>
        <v>50</v>
      </c>
      <c r="G80" s="29" t="n">
        <f aca="false">Inputs!E89</f>
        <v>70</v>
      </c>
      <c r="H80" s="29" t="n">
        <f aca="false">Inputs!F89</f>
        <v>85</v>
      </c>
      <c r="I80" s="39"/>
    </row>
    <row r="81" customFormat="false" ht="15" hidden="false" customHeight="false" outlineLevel="0" collapsed="false">
      <c r="A81" s="11" t="n">
        <v>77</v>
      </c>
      <c r="B81" s="4" t="s">
        <v>260</v>
      </c>
      <c r="C81" s="13" t="s">
        <v>135</v>
      </c>
      <c r="D81" s="11" t="s">
        <v>284</v>
      </c>
      <c r="F81" s="29" t="n">
        <f aca="false">Inputs!D90</f>
        <v>50</v>
      </c>
      <c r="G81" s="29" t="n">
        <f aca="false">Inputs!E90</f>
        <v>72</v>
      </c>
      <c r="H81" s="29" t="n">
        <f aca="false">Inputs!F90</f>
        <v>90</v>
      </c>
      <c r="I81" s="39"/>
    </row>
    <row r="82" customFormat="false" ht="15" hidden="false" customHeight="false" outlineLevel="0" collapsed="false">
      <c r="A82" s="11" t="n">
        <v>78</v>
      </c>
      <c r="B82" s="4" t="s">
        <v>261</v>
      </c>
      <c r="C82" s="13" t="s">
        <v>73</v>
      </c>
      <c r="D82" s="11" t="s">
        <v>284</v>
      </c>
      <c r="F82" s="28" t="n">
        <f aca="false">Inputs!D91</f>
        <v>-0.02</v>
      </c>
      <c r="G82" s="28" t="n">
        <f aca="false">Inputs!E91</f>
        <v>0.03</v>
      </c>
      <c r="H82" s="28" t="n">
        <f aca="false">Inputs!F91</f>
        <v>0.06</v>
      </c>
      <c r="I82" s="39"/>
    </row>
    <row r="83" customFormat="false" ht="15" hidden="false" customHeight="false" outlineLevel="0" collapsed="false">
      <c r="A83" s="11" t="n">
        <v>79</v>
      </c>
      <c r="B83" s="4" t="s">
        <v>262</v>
      </c>
      <c r="C83" s="13" t="s">
        <v>135</v>
      </c>
      <c r="D83" s="11" t="s">
        <v>284</v>
      </c>
      <c r="F83" s="29" t="n">
        <f aca="false">Inputs!D92</f>
        <v>25</v>
      </c>
      <c r="G83" s="29" t="n">
        <f aca="false">Inputs!E92</f>
        <v>40</v>
      </c>
      <c r="H83" s="29" t="n">
        <f aca="false">Inputs!F92</f>
        <v>60</v>
      </c>
      <c r="I83" s="39" t="s">
        <v>263</v>
      </c>
    </row>
    <row r="84" customFormat="false" ht="15" hidden="false" customHeight="false" outlineLevel="0" collapsed="false">
      <c r="A84" s="11" t="n">
        <v>80</v>
      </c>
      <c r="B84" s="4" t="s">
        <v>264</v>
      </c>
      <c r="C84" s="13" t="s">
        <v>138</v>
      </c>
      <c r="D84" s="11" t="s">
        <v>284</v>
      </c>
      <c r="F84" s="37" t="n">
        <f aca="false">Inputs!D93</f>
        <v>5.5</v>
      </c>
      <c r="G84" s="37" t="n">
        <f aca="false">Inputs!E93</f>
        <v>7</v>
      </c>
      <c r="H84" s="37" t="n">
        <f aca="false">Inputs!F93</f>
        <v>8</v>
      </c>
      <c r="I84" s="39" t="s">
        <v>265</v>
      </c>
    </row>
    <row r="85" customFormat="false" ht="15" hidden="false" customHeight="false" outlineLevel="0" collapsed="false">
      <c r="A85" s="11" t="n">
        <v>81</v>
      </c>
      <c r="B85" s="4" t="s">
        <v>266</v>
      </c>
      <c r="C85" s="13" t="s">
        <v>138</v>
      </c>
      <c r="D85" s="11" t="s">
        <v>284</v>
      </c>
      <c r="F85" s="37" t="n">
        <f aca="false">Inputs!D94</f>
        <v>7</v>
      </c>
      <c r="G85" s="37" t="n">
        <f aca="false">Inputs!E94</f>
        <v>9</v>
      </c>
      <c r="H85" s="37" t="n">
        <f aca="false">Inputs!F94</f>
        <v>11</v>
      </c>
      <c r="I85" s="39" t="s">
        <v>267</v>
      </c>
    </row>
    <row r="86" customFormat="false" ht="15" hidden="false" customHeight="false" outlineLevel="0" collapsed="false">
      <c r="A86" s="11" t="n">
        <v>82</v>
      </c>
      <c r="B86" s="4" t="s">
        <v>268</v>
      </c>
      <c r="C86" s="13" t="s">
        <v>73</v>
      </c>
      <c r="D86" s="11" t="s">
        <v>284</v>
      </c>
      <c r="F86" s="28" t="n">
        <f aca="false">Inputs!D95</f>
        <v>0.11</v>
      </c>
      <c r="G86" s="28" t="n">
        <f aca="false">Inputs!E95</f>
        <v>0.1</v>
      </c>
      <c r="H86" s="28" t="n">
        <f aca="false">Inputs!F95</f>
        <v>0.095</v>
      </c>
      <c r="I86" s="39" t="s">
        <v>269</v>
      </c>
    </row>
    <row r="87" customFormat="false" ht="15" hidden="false" customHeight="false" outlineLevel="0" collapsed="false">
      <c r="A87" s="11" t="n">
        <v>83</v>
      </c>
      <c r="B87" s="4" t="s">
        <v>270</v>
      </c>
      <c r="C87" s="13" t="s">
        <v>73</v>
      </c>
      <c r="D87" s="11" t="s">
        <v>284</v>
      </c>
      <c r="F87" s="28" t="n">
        <f aca="false">Inputs!D96</f>
        <v>0</v>
      </c>
      <c r="G87" s="28" t="n">
        <f aca="false">Inputs!E96</f>
        <v>0.015</v>
      </c>
      <c r="H87" s="28" t="n">
        <f aca="false">Inputs!F96</f>
        <v>0.02</v>
      </c>
      <c r="I87" s="39"/>
    </row>
    <row r="88" customFormat="false" ht="15" hidden="false" customHeight="false" outlineLevel="0" collapsed="false">
      <c r="A88" s="11" t="n">
        <v>84</v>
      </c>
      <c r="B88" s="4" t="s">
        <v>271</v>
      </c>
      <c r="C88" s="13" t="s">
        <v>73</v>
      </c>
      <c r="D88" s="11" t="s">
        <v>284</v>
      </c>
      <c r="F88" s="28" t="n">
        <f aca="false">Inputs!D97</f>
        <v>0.5</v>
      </c>
      <c r="G88" s="28" t="n">
        <f aca="false">Inputs!E97</f>
        <v>0.5</v>
      </c>
      <c r="H88" s="28" t="n">
        <f aca="false">Inputs!F97</f>
        <v>0.5</v>
      </c>
      <c r="I88" s="39"/>
    </row>
    <row r="90" customFormat="false" ht="15" hidden="false" customHeight="false" outlineLevel="0" collapsed="false">
      <c r="A90" s="17"/>
      <c r="B90" s="16" t="s">
        <v>285</v>
      </c>
      <c r="C90" s="17"/>
      <c r="D90" s="17"/>
      <c r="E90" s="17"/>
      <c r="F90" s="17"/>
      <c r="G90" s="17"/>
      <c r="H90" s="17"/>
      <c r="I90" s="17"/>
    </row>
    <row r="91" customFormat="false" ht="25.5" hidden="false" customHeight="true" outlineLevel="0" collapsed="false">
      <c r="B91" s="3" t="s">
        <v>286</v>
      </c>
      <c r="D91" s="40" t="s">
        <v>287</v>
      </c>
      <c r="E91" s="40"/>
      <c r="F91" s="40"/>
      <c r="G91" s="40"/>
      <c r="H91" s="40"/>
      <c r="I91" s="40"/>
    </row>
    <row r="92" customFormat="false" ht="25.5" hidden="false" customHeight="true" outlineLevel="0" collapsed="false">
      <c r="B92" s="3" t="s">
        <v>288</v>
      </c>
      <c r="D92" s="40" t="s">
        <v>289</v>
      </c>
      <c r="E92" s="40"/>
      <c r="F92" s="40"/>
      <c r="G92" s="40"/>
      <c r="H92" s="40"/>
      <c r="I92" s="40"/>
    </row>
    <row r="93" customFormat="false" ht="25.5" hidden="false" customHeight="true" outlineLevel="0" collapsed="false">
      <c r="B93" s="3" t="s">
        <v>290</v>
      </c>
      <c r="D93" s="40" t="s">
        <v>291</v>
      </c>
      <c r="E93" s="40"/>
      <c r="F93" s="40"/>
      <c r="G93" s="40"/>
      <c r="H93" s="40"/>
      <c r="I93" s="40"/>
    </row>
    <row r="94" customFormat="false" ht="25.5" hidden="false" customHeight="true" outlineLevel="0" collapsed="false">
      <c r="B94" s="3" t="s">
        <v>292</v>
      </c>
      <c r="D94" s="40" t="s">
        <v>293</v>
      </c>
      <c r="E94" s="40"/>
      <c r="F94" s="40"/>
      <c r="G94" s="40"/>
      <c r="H94" s="40"/>
      <c r="I94" s="40"/>
    </row>
    <row r="95" customFormat="false" ht="25.5" hidden="false" customHeight="true" outlineLevel="0" collapsed="false">
      <c r="B95" s="3" t="s">
        <v>294</v>
      </c>
      <c r="D95" s="40" t="s">
        <v>295</v>
      </c>
      <c r="E95" s="40"/>
      <c r="F95" s="40"/>
      <c r="G95" s="40"/>
      <c r="H95" s="40"/>
      <c r="I95" s="40"/>
    </row>
    <row r="96" customFormat="false" ht="25.5" hidden="false" customHeight="true" outlineLevel="0" collapsed="false">
      <c r="B96" s="3" t="s">
        <v>45</v>
      </c>
      <c r="D96" s="40" t="s">
        <v>296</v>
      </c>
      <c r="E96" s="40"/>
      <c r="F96" s="40"/>
      <c r="G96" s="40"/>
      <c r="H96" s="40"/>
      <c r="I96" s="40"/>
    </row>
    <row r="97" customFormat="false" ht="25.5" hidden="false" customHeight="true" outlineLevel="0" collapsed="false">
      <c r="B97" s="3" t="s">
        <v>297</v>
      </c>
      <c r="D97" s="40" t="s">
        <v>298</v>
      </c>
      <c r="E97" s="40"/>
      <c r="F97" s="40"/>
      <c r="G97" s="40"/>
      <c r="H97" s="40"/>
      <c r="I97" s="40"/>
    </row>
    <row r="98" customFormat="false" ht="25.5" hidden="false" customHeight="true" outlineLevel="0" collapsed="false">
      <c r="B98" s="3" t="s">
        <v>299</v>
      </c>
      <c r="D98" s="40" t="s">
        <v>300</v>
      </c>
      <c r="E98" s="40"/>
      <c r="F98" s="40"/>
      <c r="G98" s="40"/>
      <c r="H98" s="40"/>
      <c r="I98" s="40"/>
    </row>
    <row r="99" customFormat="false" ht="25.5" hidden="false" customHeight="true" outlineLevel="0" collapsed="false">
      <c r="B99" s="3" t="s">
        <v>301</v>
      </c>
      <c r="D99" s="40" t="s">
        <v>302</v>
      </c>
      <c r="E99" s="40"/>
      <c r="F99" s="40"/>
      <c r="G99" s="40"/>
      <c r="H99" s="40"/>
      <c r="I99" s="40"/>
    </row>
    <row r="100" customFormat="false" ht="25.5" hidden="false" customHeight="true" outlineLevel="0" collapsed="false">
      <c r="B100" s="3" t="s">
        <v>303</v>
      </c>
      <c r="D100" s="40" t="s">
        <v>304</v>
      </c>
      <c r="E100" s="40"/>
      <c r="F100" s="40"/>
      <c r="G100" s="40"/>
      <c r="H100" s="40"/>
      <c r="I100" s="40"/>
    </row>
    <row r="101" customFormat="false" ht="25.5" hidden="false" customHeight="true" outlineLevel="0" collapsed="false">
      <c r="B101" s="3" t="s">
        <v>305</v>
      </c>
      <c r="D101" s="40" t="s">
        <v>306</v>
      </c>
      <c r="E101" s="40"/>
      <c r="F101" s="40"/>
      <c r="G101" s="40"/>
      <c r="H101" s="40"/>
      <c r="I101" s="40"/>
    </row>
    <row r="102" customFormat="false" ht="25.5" hidden="false" customHeight="true" outlineLevel="0" collapsed="false">
      <c r="B102" s="3" t="s">
        <v>307</v>
      </c>
      <c r="D102" s="40" t="s">
        <v>308</v>
      </c>
      <c r="E102" s="40"/>
      <c r="F102" s="40"/>
      <c r="G102" s="40"/>
      <c r="H102" s="40"/>
      <c r="I102" s="40"/>
    </row>
    <row r="103" customFormat="false" ht="25.5" hidden="false" customHeight="true" outlineLevel="0" collapsed="false">
      <c r="B103" s="3" t="s">
        <v>309</v>
      </c>
      <c r="D103" s="40" t="s">
        <v>310</v>
      </c>
      <c r="E103" s="40"/>
      <c r="F103" s="40"/>
      <c r="G103" s="40"/>
      <c r="H103" s="40"/>
      <c r="I103" s="40"/>
    </row>
    <row r="104" customFormat="false" ht="25.5" hidden="false" customHeight="true" outlineLevel="0" collapsed="false">
      <c r="B104" s="3" t="s">
        <v>311</v>
      </c>
      <c r="D104" s="40" t="s">
        <v>312</v>
      </c>
      <c r="E104" s="40"/>
      <c r="F104" s="40"/>
      <c r="G104" s="40"/>
      <c r="H104" s="40"/>
      <c r="I104" s="40"/>
    </row>
    <row r="105" customFormat="false" ht="25.5" hidden="false" customHeight="true" outlineLevel="0" collapsed="false">
      <c r="B105" s="3" t="s">
        <v>313</v>
      </c>
      <c r="D105" s="40" t="s">
        <v>314</v>
      </c>
      <c r="E105" s="40"/>
      <c r="F105" s="40"/>
      <c r="G105" s="40"/>
      <c r="H105" s="40"/>
      <c r="I105" s="40"/>
    </row>
    <row r="106" customFormat="false" ht="25.5" hidden="false" customHeight="true" outlineLevel="0" collapsed="false">
      <c r="B106" s="3" t="s">
        <v>315</v>
      </c>
      <c r="D106" s="40" t="s">
        <v>316</v>
      </c>
      <c r="E106" s="40"/>
      <c r="F106" s="40"/>
      <c r="G106" s="40"/>
      <c r="H106" s="40"/>
      <c r="I106" s="40"/>
    </row>
    <row r="107" customFormat="false" ht="25.5" hidden="false" customHeight="true" outlineLevel="0" collapsed="false">
      <c r="B107" s="3" t="s">
        <v>317</v>
      </c>
      <c r="D107" s="40" t="s">
        <v>318</v>
      </c>
      <c r="E107" s="40"/>
      <c r="F107" s="40"/>
      <c r="G107" s="40"/>
      <c r="H107" s="40"/>
      <c r="I107" s="40"/>
    </row>
    <row r="108" customFormat="false" ht="25.5" hidden="false" customHeight="true" outlineLevel="0" collapsed="false">
      <c r="B108" s="3" t="s">
        <v>319</v>
      </c>
      <c r="D108" s="40" t="s">
        <v>320</v>
      </c>
      <c r="E108" s="40"/>
      <c r="F108" s="40"/>
      <c r="G108" s="40"/>
      <c r="H108" s="40"/>
      <c r="I108" s="40"/>
    </row>
    <row r="109" customFormat="false" ht="25.5" hidden="false" customHeight="true" outlineLevel="0" collapsed="false">
      <c r="B109" s="3" t="s">
        <v>321</v>
      </c>
      <c r="D109" s="40" t="s">
        <v>322</v>
      </c>
      <c r="E109" s="40"/>
      <c r="F109" s="40"/>
      <c r="G109" s="40"/>
      <c r="H109" s="40"/>
      <c r="I109" s="40"/>
    </row>
    <row r="110" customFormat="false" ht="25.5" hidden="false" customHeight="true" outlineLevel="0" collapsed="false">
      <c r="B110" s="3" t="s">
        <v>323</v>
      </c>
      <c r="D110" s="40" t="s">
        <v>324</v>
      </c>
      <c r="E110" s="40"/>
      <c r="F110" s="40"/>
      <c r="G110" s="40"/>
      <c r="H110" s="40"/>
      <c r="I110" s="40"/>
    </row>
  </sheetData>
  <mergeCells count="20">
    <mergeCell ref="D91:I91"/>
    <mergeCell ref="D92:I92"/>
    <mergeCell ref="D93:I93"/>
    <mergeCell ref="D94:I94"/>
    <mergeCell ref="D95:I95"/>
    <mergeCell ref="D96:I96"/>
    <mergeCell ref="D97:I97"/>
    <mergeCell ref="D98:I98"/>
    <mergeCell ref="D99:I99"/>
    <mergeCell ref="D100:I100"/>
    <mergeCell ref="D101:I101"/>
    <mergeCell ref="D102:I102"/>
    <mergeCell ref="D103:I103"/>
    <mergeCell ref="D104:I104"/>
    <mergeCell ref="D105:I105"/>
    <mergeCell ref="D106:I106"/>
    <mergeCell ref="D107:I107"/>
    <mergeCell ref="D108:I108"/>
    <mergeCell ref="D109:I109"/>
    <mergeCell ref="D110:I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10" min="3" style="0" width="12"/>
  </cols>
  <sheetData>
    <row r="1" customFormat="false" ht="15" hidden="false" customHeight="false" outlineLevel="0" collapsed="false">
      <c r="B1" s="12" t="s">
        <v>325</v>
      </c>
    </row>
    <row r="3" customFormat="false" ht="15" hidden="false" customHeight="false" outlineLevel="0" collapsed="false">
      <c r="B3" s="38" t="s">
        <v>326</v>
      </c>
      <c r="C3" s="38" t="s">
        <v>219</v>
      </c>
      <c r="D3" s="38" t="s">
        <v>220</v>
      </c>
      <c r="E3" s="38" t="s">
        <v>221</v>
      </c>
      <c r="F3" s="38" t="s">
        <v>327</v>
      </c>
    </row>
    <row r="4" customFormat="false" ht="15" hidden="false" customHeight="false" outlineLevel="0" collapsed="false">
      <c r="B4" s="4" t="s">
        <v>328</v>
      </c>
      <c r="C4" s="30" t="n">
        <f aca="false">Inputs!$D$65</f>
        <v>0.4</v>
      </c>
      <c r="D4" s="30" t="n">
        <f aca="false">Inputs!$E$65</f>
        <v>0.4</v>
      </c>
      <c r="E4" s="30" t="n">
        <f aca="false">Inputs!$F$65</f>
        <v>0.2</v>
      </c>
      <c r="F4" s="41" t="n">
        <f aca="false">SUM(C4:E4)</f>
        <v>1</v>
      </c>
    </row>
    <row r="5" customFormat="false" ht="15" hidden="false" customHeight="false" outlineLevel="0" collapsed="false">
      <c r="B5" s="4" t="s">
        <v>329</v>
      </c>
      <c r="C5" s="21" t="n">
        <f aca="false">Bear!T6</f>
        <v>126793.5265</v>
      </c>
      <c r="D5" s="21" t="n">
        <f aca="false">Base!T6</f>
        <v>138991.9984</v>
      </c>
      <c r="E5" s="21" t="n">
        <f aca="false">Bull!T6</f>
        <v>145586.1472</v>
      </c>
    </row>
    <row r="6" customFormat="false" ht="15" hidden="false" customHeight="false" outlineLevel="0" collapsed="false">
      <c r="B6" s="4" t="s">
        <v>330</v>
      </c>
      <c r="C6" s="21" t="n">
        <f aca="false">Bear!T9</f>
        <v>121721.78544</v>
      </c>
      <c r="D6" s="21" t="n">
        <f aca="false">Base!T9</f>
        <v>140381.918384</v>
      </c>
      <c r="E6" s="21" t="n">
        <f aca="false">Bull!T9</f>
        <v>148497.870144</v>
      </c>
    </row>
    <row r="7" customFormat="false" ht="15" hidden="false" customHeight="false" outlineLevel="0" collapsed="false">
      <c r="B7" s="4" t="s">
        <v>331</v>
      </c>
      <c r="C7" s="31" t="n">
        <f aca="false">Bear!T21</f>
        <v>3367.63008179563</v>
      </c>
      <c r="D7" s="31" t="n">
        <f aca="false">Base!T21</f>
        <v>3959.16214440306</v>
      </c>
      <c r="E7" s="31" t="n">
        <f aca="false">Bull!T21</f>
        <v>4255.80687975863</v>
      </c>
    </row>
    <row r="8" customFormat="false" ht="15" hidden="false" customHeight="false" outlineLevel="0" collapsed="false">
      <c r="B8" s="4" t="s">
        <v>332</v>
      </c>
      <c r="C8" s="30" t="n">
        <f aca="false">Bear!T24</f>
        <v>0.196151145178212</v>
      </c>
      <c r="D8" s="30" t="n">
        <f aca="false">Base!T24</f>
        <v>0.248694082384974</v>
      </c>
      <c r="E8" s="30" t="n">
        <f aca="false">Bull!T24</f>
        <v>0.278592120144812</v>
      </c>
    </row>
    <row r="9" customFormat="false" ht="15" hidden="false" customHeight="false" outlineLevel="0" collapsed="false">
      <c r="B9" s="4" t="s">
        <v>333</v>
      </c>
      <c r="C9" s="31" t="n">
        <f aca="false">Bear!T26</f>
        <v>-306.387567319194</v>
      </c>
      <c r="D9" s="31" t="n">
        <f aca="false">Base!T26</f>
        <v>31.783560415644</v>
      </c>
      <c r="E9" s="31" t="n">
        <f aca="false">Bull!T26</f>
        <v>246.821261558835</v>
      </c>
      <c r="F9" s="42" t="n">
        <f aca="false">SUMPRODUCT($C$4:$E$4,C9:E9)</f>
        <v>-60.4773504496529</v>
      </c>
    </row>
    <row r="10" customFormat="false" ht="15" hidden="false" customHeight="false" outlineLevel="0" collapsed="false">
      <c r="B10" s="4" t="s">
        <v>334</v>
      </c>
      <c r="C10" s="43" t="n">
        <f aca="false">Bear!S43</f>
        <v>-0.230661490557272</v>
      </c>
      <c r="D10" s="43" t="n">
        <f aca="false">Base!S43</f>
        <v>0.552904889952138</v>
      </c>
      <c r="E10" s="43" t="n">
        <f aca="false">Bull!S43</f>
        <v>1.11232790392741</v>
      </c>
      <c r="F10" s="5" t="n">
        <f aca="false">SUMPRODUCT($C$4:$E$4,C10:E10)</f>
        <v>0.351362940543428</v>
      </c>
    </row>
    <row r="11" customFormat="false" ht="15" hidden="false" customHeight="false" outlineLevel="0" collapsed="false">
      <c r="B11" s="4" t="s">
        <v>335</v>
      </c>
      <c r="C11" s="43" t="n">
        <f aca="false">Bear!T43</f>
        <v>-1.92949013261507</v>
      </c>
      <c r="D11" s="43" t="n">
        <f aca="false">Base!T43</f>
        <v>0.798078003049061</v>
      </c>
      <c r="E11" s="43" t="n">
        <f aca="false">Bull!T43</f>
        <v>2.65647732219229</v>
      </c>
      <c r="F11" s="5" t="n">
        <f aca="false">SUMPRODUCT($C$4:$E$4,C11:E11)</f>
        <v>0.0787306126120544</v>
      </c>
    </row>
    <row r="12" customFormat="false" ht="15" hidden="false" customHeight="false" outlineLevel="0" collapsed="false">
      <c r="B12" s="4" t="s">
        <v>336</v>
      </c>
      <c r="C12" s="31" t="n">
        <f aca="false">Bear!T49</f>
        <v>-214.387567319194</v>
      </c>
      <c r="D12" s="31" t="n">
        <f aca="false">Base!T49</f>
        <v>138.783560415644</v>
      </c>
      <c r="E12" s="31" t="n">
        <f aca="false">Bull!T49</f>
        <v>363.821261558835</v>
      </c>
    </row>
    <row r="13" customFormat="false" ht="15" hidden="false" customHeight="false" outlineLevel="0" collapsed="false">
      <c r="B13" s="4" t="s">
        <v>337</v>
      </c>
      <c r="C13" s="43" t="n">
        <f aca="false">Bear!T108</f>
        <v>12.4329333333333</v>
      </c>
      <c r="D13" s="43" t="n">
        <f aca="false">Base!T108</f>
        <v>23.4085040277096</v>
      </c>
      <c r="E13" s="43" t="n">
        <f aca="false">Bull!T108</f>
        <v>43.6359818330541</v>
      </c>
    </row>
    <row r="14" customFormat="false" ht="15" hidden="false" customHeight="false" outlineLevel="0" collapsed="false">
      <c r="B14" s="4" t="s">
        <v>338</v>
      </c>
      <c r="C14" s="43" t="n">
        <f aca="false">Bear!T116</f>
        <v>12.4329333333333</v>
      </c>
      <c r="D14" s="43" t="n">
        <f aca="false">Base!T116</f>
        <v>14.1562666666667</v>
      </c>
      <c r="E14" s="43" t="n">
        <f aca="false">Bull!T116</f>
        <v>42.6061460246014</v>
      </c>
    </row>
    <row r="15" customFormat="false" ht="15" hidden="false" customHeight="false" outlineLevel="0" collapsed="false">
      <c r="B15" s="3" t="s">
        <v>339</v>
      </c>
      <c r="C15" s="5" t="n">
        <f aca="false">Bear!T117</f>
        <v>12.4329333333333</v>
      </c>
      <c r="D15" s="5" t="n">
        <f aca="false">Base!T117</f>
        <v>18.7823853471881</v>
      </c>
      <c r="E15" s="5" t="n">
        <f aca="false">Bull!T117</f>
        <v>43.1210639288277</v>
      </c>
      <c r="F15" s="5" t="n">
        <f aca="false">SUMPRODUCT($C$4:$E$4,C15:E15)</f>
        <v>21.1103402579741</v>
      </c>
    </row>
    <row r="16" customFormat="false" ht="15" hidden="false" customHeight="false" outlineLevel="0" collapsed="false">
      <c r="B16" s="4" t="s">
        <v>340</v>
      </c>
      <c r="C16" s="30" t="n">
        <f aca="false">Bear!T118</f>
        <v>-0.538666666666667</v>
      </c>
      <c r="D16" s="30" t="n">
        <f aca="false">Base!T118</f>
        <v>-0.303065478768529</v>
      </c>
      <c r="E16" s="30" t="n">
        <f aca="false">Bull!T118</f>
        <v>0.60003947787858</v>
      </c>
      <c r="F16" s="6" t="n">
        <f aca="false">SUMPRODUCT($C$4:$E$4,C16:E16)</f>
        <v>-0.216684962598362</v>
      </c>
    </row>
    <row r="18" customFormat="false" ht="15" hidden="false" customHeight="false" outlineLevel="0" collapsed="false">
      <c r="B18" s="38" t="s">
        <v>341</v>
      </c>
      <c r="C18" s="38" t="s">
        <v>342</v>
      </c>
    </row>
    <row r="19" customFormat="false" ht="15" hidden="false" customHeight="false" outlineLevel="0" collapsed="false">
      <c r="B19" s="4" t="s">
        <v>3</v>
      </c>
      <c r="C19" s="43" t="n">
        <f aca="false">Inputs!$E$5</f>
        <v>26.95</v>
      </c>
    </row>
    <row r="20" customFormat="false" ht="15" hidden="false" customHeight="false" outlineLevel="0" collapsed="false">
      <c r="B20" s="3" t="s">
        <v>4</v>
      </c>
      <c r="C20" s="5" t="n">
        <f aca="false">F15</f>
        <v>21.1103402579741</v>
      </c>
    </row>
    <row r="21" customFormat="false" ht="15" hidden="false" customHeight="false" outlineLevel="0" collapsed="false">
      <c r="B21" s="3" t="s">
        <v>343</v>
      </c>
      <c r="C21" s="6" t="n">
        <f aca="false">-(C20/C19-1)</f>
        <v>0.216684962598362</v>
      </c>
    </row>
    <row r="22" customFormat="false" ht="15" hidden="false" customHeight="false" outlineLevel="0" collapsed="false">
      <c r="B22" s="4" t="s">
        <v>344</v>
      </c>
      <c r="C22" s="30" t="n">
        <f aca="false">C15/Inputs!$E$5-1</f>
        <v>-0.538666666666667</v>
      </c>
    </row>
    <row r="23" customFormat="false" ht="15" hidden="false" customHeight="false" outlineLevel="0" collapsed="false">
      <c r="B23" s="4" t="s">
        <v>345</v>
      </c>
      <c r="C23" s="30" t="n">
        <f aca="false">E15/Inputs!$E$5-1</f>
        <v>0.60003947787858</v>
      </c>
    </row>
    <row r="24" customFormat="false" ht="15" hidden="false" customHeight="false" outlineLevel="0" collapsed="false">
      <c r="B24" s="4" t="s">
        <v>346</v>
      </c>
      <c r="C24" s="44" t="n">
        <f aca="false">-C22/C23</f>
        <v>0.897718711060654</v>
      </c>
    </row>
    <row r="25" customFormat="false" ht="15" hidden="false" customHeight="false" outlineLevel="0" collapsed="false">
      <c r="B25" s="4" t="s">
        <v>347</v>
      </c>
      <c r="C25" s="30" t="n">
        <f aca="false">Base!T45/Inputs!$E$5</f>
        <v>0.0289424860853432</v>
      </c>
    </row>
    <row r="26" customFormat="false" ht="15" hidden="false" customHeight="false" outlineLevel="0" collapsed="false">
      <c r="B26" s="4" t="s">
        <v>128</v>
      </c>
      <c r="C26" s="43" t="n">
        <f aca="false">Inputs!$E$10</f>
        <v>28.18</v>
      </c>
    </row>
    <row r="27" customFormat="false" ht="15" hidden="false" customHeight="false" outlineLevel="0" collapsed="false">
      <c r="B27" s="4" t="s">
        <v>348</v>
      </c>
      <c r="C27" s="43" t="n">
        <f aca="false">Inputs!$E$11</f>
        <v>33</v>
      </c>
    </row>
    <row r="28" customFormat="false" ht="15" hidden="false" customHeight="false" outlineLevel="0" collapsed="false">
      <c r="B28" s="4" t="s">
        <v>349</v>
      </c>
      <c r="C28" s="30" t="n">
        <f aca="false">F10/Inputs!$E$7-1</f>
        <v>-0.483289793318489</v>
      </c>
    </row>
    <row r="29" customFormat="false" ht="15" hidden="false" customHeight="false" outlineLevel="0" collapsed="false">
      <c r="B29" s="3" t="s">
        <v>9</v>
      </c>
      <c r="C29" s="7" t="str">
        <f aca="false">IF(C21&gt;=Inputs!$E$54,"SHORT supported",IF(C21&gt;0,"Marginal short","Short NOT supported at current price"))</f>
        <v>SHORT supported</v>
      </c>
    </row>
    <row r="31" customFormat="false" ht="26.85" hidden="false" customHeight="false" outlineLevel="0" collapsed="false">
      <c r="B31" s="38" t="s">
        <v>350</v>
      </c>
      <c r="C31" s="38" t="s">
        <v>351</v>
      </c>
      <c r="D31" s="38" t="s">
        <v>352</v>
      </c>
      <c r="E31" s="38" t="s">
        <v>353</v>
      </c>
      <c r="F31" s="38" t="s">
        <v>354</v>
      </c>
      <c r="G31" s="38" t="s">
        <v>355</v>
      </c>
      <c r="H31" s="38" t="s">
        <v>356</v>
      </c>
      <c r="I31" s="38" t="s">
        <v>357</v>
      </c>
    </row>
    <row r="32" customFormat="false" ht="15" hidden="false" customHeight="false" outlineLevel="0" collapsed="false">
      <c r="B32" s="4" t="s">
        <v>358</v>
      </c>
      <c r="C32" s="22" t="n">
        <v>53.71</v>
      </c>
      <c r="D32" s="23" t="n">
        <v>3.06</v>
      </c>
      <c r="E32" s="23" t="n">
        <v>4.81</v>
      </c>
      <c r="F32" s="26" t="n">
        <v>9.78</v>
      </c>
      <c r="G32" s="26" t="n">
        <v>19.14</v>
      </c>
      <c r="H32" s="26" t="n">
        <v>3.65</v>
      </c>
      <c r="I32" s="24" t="n">
        <v>0.0506</v>
      </c>
    </row>
    <row r="33" customFormat="false" ht="15" hidden="false" customHeight="false" outlineLevel="0" collapsed="false">
      <c r="B33" s="4" t="s">
        <v>359</v>
      </c>
      <c r="C33" s="22" t="n">
        <v>56.1</v>
      </c>
      <c r="D33" s="23" t="n">
        <v>3.99</v>
      </c>
      <c r="E33" s="23" t="n">
        <v>5.65</v>
      </c>
      <c r="F33" s="26" t="n">
        <v>8.06</v>
      </c>
      <c r="G33" s="26" t="n">
        <v>16.9</v>
      </c>
      <c r="H33" s="26" t="n">
        <v>16.39</v>
      </c>
      <c r="I33" s="24" t="n">
        <v>0.0124</v>
      </c>
    </row>
    <row r="34" customFormat="false" ht="15" hidden="false" customHeight="false" outlineLevel="0" collapsed="false">
      <c r="B34" s="3" t="s">
        <v>360</v>
      </c>
      <c r="C34" s="43" t="n">
        <f aca="false">Inputs!$E$5</f>
        <v>26.95</v>
      </c>
      <c r="D34" s="34" t="n">
        <f aca="false">Inputs!$E$5*Inputs!$E$6/1000</f>
        <v>2.8046865</v>
      </c>
      <c r="E34" s="34" t="n">
        <f aca="false">D34+Inputs!$E$16/1000</f>
        <v>3.7946865</v>
      </c>
      <c r="F34" s="44" t="n">
        <f aca="false">E34*1000/Inputs!$E$17</f>
        <v>8.83306913407821</v>
      </c>
      <c r="G34" s="44" t="n">
        <f aca="false">Inputs!$E$5/Inputs!$E$18</f>
        <v>18.7935843793584</v>
      </c>
      <c r="H34" s="44" t="n">
        <f aca="false">Inputs!$E$5*Inputs!$E$6/(Historicals!J54/1000)</f>
        <v>0.900086456468975</v>
      </c>
      <c r="I34" s="30" t="n">
        <f aca="false">Inputs!$E$19/Inputs!$E$5</f>
        <v>0.0278293135435993</v>
      </c>
    </row>
    <row r="35" customFormat="false" ht="15" hidden="false" customHeight="false" outlineLevel="0" collapsed="false">
      <c r="B35" s="2" t="s">
        <v>361</v>
      </c>
      <c r="F35" s="45" t="n">
        <f aca="false">AVERAGE(F32:F33)</f>
        <v>8.92</v>
      </c>
      <c r="G35" s="45" t="n">
        <f aca="false">AVERAGE(G32:G33)</f>
        <v>18.02</v>
      </c>
      <c r="H35" s="45" t="n">
        <f aca="false">AVERAGE(H32:H33)</f>
        <v>10.02</v>
      </c>
      <c r="I35" s="46" t="n">
        <f aca="false">AVERAGE(I32:I33)</f>
        <v>0.0315</v>
      </c>
    </row>
    <row r="36" customFormat="false" ht="15" hidden="false" customHeight="false" outlineLevel="0" collapsed="false">
      <c r="B36" s="13" t="s">
        <v>362</v>
      </c>
    </row>
    <row r="38" customFormat="false" ht="39.55" hidden="false" customHeight="false" outlineLevel="0" collapsed="false">
      <c r="B38" s="38" t="s">
        <v>363</v>
      </c>
      <c r="C38" s="38"/>
      <c r="D38" s="38" t="s">
        <v>364</v>
      </c>
    </row>
    <row r="39" customFormat="false" ht="15" hidden="false" customHeight="false" outlineLevel="0" collapsed="false">
      <c r="B39" s="13" t="s">
        <v>365</v>
      </c>
      <c r="C39" s="47" t="n">
        <v>-0.03</v>
      </c>
      <c r="D39" s="47" t="n">
        <v>-0.02</v>
      </c>
      <c r="E39" s="47" t="n">
        <v>-0.01</v>
      </c>
      <c r="F39" s="47" t="n">
        <v>0</v>
      </c>
      <c r="G39" s="47" t="n">
        <v>0.01</v>
      </c>
      <c r="H39" s="47" t="n">
        <v>0.02</v>
      </c>
    </row>
    <row r="40" customFormat="false" ht="15" hidden="false" customHeight="false" outlineLevel="0" collapsed="false">
      <c r="B40" s="47" t="n">
        <v>-0.08</v>
      </c>
      <c r="C40" s="43" t="n">
        <f aca="false">(Base!$T$41+((Base!$T$21*(1+$B40)/(1+Inputs!$E$67))*(Inputs!$E$57+Inputs!$E$80+C$39)-Base!$T$21*(Inputs!$E$57+Inputs!$E$80))*(1-Inputs!$E$29))/Base!$T$42</f>
        <v>-1.25246105994466</v>
      </c>
      <c r="D40" s="43" t="n">
        <f aca="false">(Base!$T$41+((Base!$T$21*(1+$B40)/(1+Inputs!$E$67))*(Inputs!$E$57+Inputs!$E$80+D$39)-Base!$T$21*(Inputs!$E$57+Inputs!$E$80))*(1-Inputs!$E$29))/Base!$T$42</f>
        <v>-0.97991913595562</v>
      </c>
      <c r="E40" s="43" t="n">
        <f aca="false">(Base!$T$41+((Base!$T$21*(1+$B40)/(1+Inputs!$E$67))*(Inputs!$E$57+Inputs!$E$80+E$39)-Base!$T$21*(Inputs!$E$57+Inputs!$E$80))*(1-Inputs!$E$29))/Base!$T$42</f>
        <v>-0.707377211966578</v>
      </c>
      <c r="F40" s="43" t="n">
        <f aca="false">(Base!$T$41+((Base!$T$21*(1+$B40)/(1+Inputs!$E$67))*(Inputs!$E$57+Inputs!$E$80+F$39)-Base!$T$21*(Inputs!$E$57+Inputs!$E$80))*(1-Inputs!$E$29))/Base!$T$42</f>
        <v>-0.434835287977534</v>
      </c>
      <c r="G40" s="43" t="n">
        <f aca="false">(Base!$T$41+((Base!$T$21*(1+$B40)/(1+Inputs!$E$67))*(Inputs!$E$57+Inputs!$E$80+G$39)-Base!$T$21*(Inputs!$E$57+Inputs!$E$80))*(1-Inputs!$E$29))/Base!$T$42</f>
        <v>-0.16229336398849</v>
      </c>
      <c r="H40" s="43" t="n">
        <f aca="false">(Base!$T$41+((Base!$T$21*(1+$B40)/(1+Inputs!$E$67))*(Inputs!$E$57+Inputs!$E$80+H$39)-Base!$T$21*(Inputs!$E$57+Inputs!$E$80))*(1-Inputs!$E$29))/Base!$T$42</f>
        <v>0.110248560000553</v>
      </c>
    </row>
    <row r="41" customFormat="false" ht="15" hidden="false" customHeight="false" outlineLevel="0" collapsed="false">
      <c r="B41" s="47" t="n">
        <v>-0.05</v>
      </c>
      <c r="C41" s="43" t="n">
        <f aca="false">(Base!$T$41+((Base!$T$21*(1+$B41)/(1+Inputs!$E$67))*(Inputs!$E$57+Inputs!$E$80+C$39)-Base!$T$21*(Inputs!$E$57+Inputs!$E$80))*(1-Inputs!$E$29))/Base!$T$42</f>
        <v>-0.868151672891248</v>
      </c>
      <c r="D41" s="43" t="n">
        <f aca="false">(Base!$T$41+((Base!$T$21*(1+$B41)/(1+Inputs!$E$67))*(Inputs!$E$57+Inputs!$E$80+D$39)-Base!$T$21*(Inputs!$E$57+Inputs!$E$80))*(1-Inputs!$E$29))/Base!$T$42</f>
        <v>-0.586722512250389</v>
      </c>
      <c r="E41" s="43" t="n">
        <f aca="false">(Base!$T$41+((Base!$T$21*(1+$B41)/(1+Inputs!$E$67))*(Inputs!$E$57+Inputs!$E$80+E$39)-Base!$T$21*(Inputs!$E$57+Inputs!$E$80))*(1-Inputs!$E$29))/Base!$T$42</f>
        <v>-0.305293351609529</v>
      </c>
      <c r="F41" s="43" t="n">
        <f aca="false">(Base!$T$41+((Base!$T$21*(1+$B41)/(1+Inputs!$E$67))*(Inputs!$E$57+Inputs!$E$80+F$39)-Base!$T$21*(Inputs!$E$57+Inputs!$E$80))*(1-Inputs!$E$29))/Base!$T$42</f>
        <v>-0.0238641909686684</v>
      </c>
      <c r="G41" s="43" t="n">
        <f aca="false">(Base!$T$41+((Base!$T$21*(1+$B41)/(1+Inputs!$E$67))*(Inputs!$E$57+Inputs!$E$80+G$39)-Base!$T$21*(Inputs!$E$57+Inputs!$E$80))*(1-Inputs!$E$29))/Base!$T$42</f>
        <v>0.257564969672192</v>
      </c>
      <c r="H41" s="43" t="n">
        <f aca="false">(Base!$T$41+((Base!$T$21*(1+$B41)/(1+Inputs!$E$67))*(Inputs!$E$57+Inputs!$E$80+H$39)-Base!$T$21*(Inputs!$E$57+Inputs!$E$80))*(1-Inputs!$E$29))/Base!$T$42</f>
        <v>0.538994130313052</v>
      </c>
    </row>
    <row r="42" customFormat="false" ht="15" hidden="false" customHeight="false" outlineLevel="0" collapsed="false">
      <c r="B42" s="47" t="n">
        <v>-0.02</v>
      </c>
      <c r="C42" s="43" t="n">
        <f aca="false">(Base!$T$41+((Base!$T$21*(1+$B42)/(1+Inputs!$E$67))*(Inputs!$E$57+Inputs!$E$80+C$39)-Base!$T$21*(Inputs!$E$57+Inputs!$E$80))*(1-Inputs!$E$29))/Base!$T$42</f>
        <v>-0.483842285837834</v>
      </c>
      <c r="D42" s="43" t="n">
        <f aca="false">(Base!$T$41+((Base!$T$21*(1+$B42)/(1+Inputs!$E$67))*(Inputs!$E$57+Inputs!$E$80+D$39)-Base!$T$21*(Inputs!$E$57+Inputs!$E$80))*(1-Inputs!$E$29))/Base!$T$42</f>
        <v>-0.193525888545158</v>
      </c>
      <c r="E42" s="43" t="n">
        <f aca="false">(Base!$T$41+((Base!$T$21*(1+$B42)/(1+Inputs!$E$67))*(Inputs!$E$57+Inputs!$E$80+E$39)-Base!$T$21*(Inputs!$E$57+Inputs!$E$80))*(1-Inputs!$E$29))/Base!$T$42</f>
        <v>0.0967905087475186</v>
      </c>
      <c r="F42" s="43" t="n">
        <f aca="false">(Base!$T$41+((Base!$T$21*(1+$B42)/(1+Inputs!$E$67))*(Inputs!$E$57+Inputs!$E$80+F$39)-Base!$T$21*(Inputs!$E$57+Inputs!$E$80))*(1-Inputs!$E$29))/Base!$T$42</f>
        <v>0.387106906040195</v>
      </c>
      <c r="G42" s="43" t="n">
        <f aca="false">(Base!$T$41+((Base!$T$21*(1+$B42)/(1+Inputs!$E$67))*(Inputs!$E$57+Inputs!$E$80+G$39)-Base!$T$21*(Inputs!$E$57+Inputs!$E$80))*(1-Inputs!$E$29))/Base!$T$42</f>
        <v>0.677423303332872</v>
      </c>
      <c r="H42" s="43" t="n">
        <f aca="false">(Base!$T$41+((Base!$T$21*(1+$B42)/(1+Inputs!$E$67))*(Inputs!$E$57+Inputs!$E$80+H$39)-Base!$T$21*(Inputs!$E$57+Inputs!$E$80))*(1-Inputs!$E$29))/Base!$T$42</f>
        <v>0.967739700625548</v>
      </c>
    </row>
    <row r="43" customFormat="false" ht="15" hidden="false" customHeight="false" outlineLevel="0" collapsed="false">
      <c r="B43" s="47" t="n">
        <v>0.01</v>
      </c>
      <c r="C43" s="43" t="n">
        <f aca="false">(Base!$T$41+((Base!$T$21*(1+$B43)/(1+Inputs!$E$67))*(Inputs!$E$57+Inputs!$E$80+C$39)-Base!$T$21*(Inputs!$E$57+Inputs!$E$80))*(1-Inputs!$E$29))/Base!$T$42</f>
        <v>-0.0995328987844195</v>
      </c>
      <c r="D43" s="43" t="n">
        <f aca="false">(Base!$T$41+((Base!$T$21*(1+$B43)/(1+Inputs!$E$67))*(Inputs!$E$57+Inputs!$E$80+D$39)-Base!$T$21*(Inputs!$E$57+Inputs!$E$80))*(1-Inputs!$E$29))/Base!$T$42</f>
        <v>0.199670735160073</v>
      </c>
      <c r="E43" s="43" t="n">
        <f aca="false">(Base!$T$41+((Base!$T$21*(1+$B43)/(1+Inputs!$E$67))*(Inputs!$E$57+Inputs!$E$80+E$39)-Base!$T$21*(Inputs!$E$57+Inputs!$E$80))*(1-Inputs!$E$29))/Base!$T$42</f>
        <v>0.498874369104566</v>
      </c>
      <c r="F43" s="43" t="n">
        <f aca="false">(Base!$T$41+((Base!$T$21*(1+$B43)/(1+Inputs!$E$67))*(Inputs!$E$57+Inputs!$E$80+F$39)-Base!$T$21*(Inputs!$E$57+Inputs!$E$80))*(1-Inputs!$E$29))/Base!$T$42</f>
        <v>0.798078003049061</v>
      </c>
      <c r="G43" s="43" t="n">
        <f aca="false">(Base!$T$41+((Base!$T$21*(1+$B43)/(1+Inputs!$E$67))*(Inputs!$E$57+Inputs!$E$80+G$39)-Base!$T$21*(Inputs!$E$57+Inputs!$E$80))*(1-Inputs!$E$29))/Base!$T$42</f>
        <v>1.09728163699355</v>
      </c>
      <c r="H43" s="43" t="n">
        <f aca="false">(Base!$T$41+((Base!$T$21*(1+$B43)/(1+Inputs!$E$67))*(Inputs!$E$57+Inputs!$E$80+H$39)-Base!$T$21*(Inputs!$E$57+Inputs!$E$80))*(1-Inputs!$E$29))/Base!$T$42</f>
        <v>1.39648527093805</v>
      </c>
    </row>
    <row r="44" customFormat="false" ht="15" hidden="false" customHeight="false" outlineLevel="0" collapsed="false">
      <c r="B44" s="47" t="n">
        <v>0.04</v>
      </c>
      <c r="C44" s="43" t="n">
        <f aca="false">(Base!$T$41+((Base!$T$21*(1+$B44)/(1+Inputs!$E$67))*(Inputs!$E$57+Inputs!$E$80+C$39)-Base!$T$21*(Inputs!$E$57+Inputs!$E$80))*(1-Inputs!$E$29))/Base!$T$42</f>
        <v>0.284776488268997</v>
      </c>
      <c r="D44" s="43" t="n">
        <f aca="false">(Base!$T$41+((Base!$T$21*(1+$B44)/(1+Inputs!$E$67))*(Inputs!$E$57+Inputs!$E$80+D$39)-Base!$T$21*(Inputs!$E$57+Inputs!$E$80))*(1-Inputs!$E$29))/Base!$T$42</f>
        <v>0.592867358865305</v>
      </c>
      <c r="E44" s="43" t="n">
        <f aca="false">(Base!$T$41+((Base!$T$21*(1+$B44)/(1+Inputs!$E$67))*(Inputs!$E$57+Inputs!$E$80+E$39)-Base!$T$21*(Inputs!$E$57+Inputs!$E$80))*(1-Inputs!$E$29))/Base!$T$42</f>
        <v>0.900958229461615</v>
      </c>
      <c r="F44" s="43" t="n">
        <f aca="false">(Base!$T$41+((Base!$T$21*(1+$B44)/(1+Inputs!$E$67))*(Inputs!$E$57+Inputs!$E$80+F$39)-Base!$T$21*(Inputs!$E$57+Inputs!$E$80))*(1-Inputs!$E$29))/Base!$T$42</f>
        <v>1.20904910005792</v>
      </c>
      <c r="G44" s="43" t="n">
        <f aca="false">(Base!$T$41+((Base!$T$21*(1+$B44)/(1+Inputs!$E$67))*(Inputs!$E$57+Inputs!$E$80+G$39)-Base!$T$21*(Inputs!$E$57+Inputs!$E$80))*(1-Inputs!$E$29))/Base!$T$42</f>
        <v>1.51713997065423</v>
      </c>
      <c r="H44" s="43" t="n">
        <f aca="false">(Base!$T$41+((Base!$T$21*(1+$B44)/(1+Inputs!$E$67))*(Inputs!$E$57+Inputs!$E$80+H$39)-Base!$T$21*(Inputs!$E$57+Inputs!$E$80))*(1-Inputs!$E$29))/Base!$T$42</f>
        <v>1.82523084125055</v>
      </c>
    </row>
    <row r="45" customFormat="false" ht="15" hidden="false" customHeight="false" outlineLevel="0" collapsed="false">
      <c r="B45" s="47" t="n">
        <v>0.07</v>
      </c>
      <c r="C45" s="43" t="n">
        <f aca="false">(Base!$T$41+((Base!$T$21*(1+$B45)/(1+Inputs!$E$67))*(Inputs!$E$57+Inputs!$E$80+C$39)-Base!$T$21*(Inputs!$E$57+Inputs!$E$80))*(1-Inputs!$E$29))/Base!$T$42</f>
        <v>0.669085875322412</v>
      </c>
      <c r="D45" s="43" t="n">
        <f aca="false">(Base!$T$41+((Base!$T$21*(1+$B45)/(1+Inputs!$E$67))*(Inputs!$E$57+Inputs!$E$80+D$39)-Base!$T$21*(Inputs!$E$57+Inputs!$E$80))*(1-Inputs!$E$29))/Base!$T$42</f>
        <v>0.986063982570538</v>
      </c>
      <c r="E45" s="43" t="n">
        <f aca="false">(Base!$T$41+((Base!$T$21*(1+$B45)/(1+Inputs!$E$67))*(Inputs!$E$57+Inputs!$E$80+E$39)-Base!$T$21*(Inputs!$E$57+Inputs!$E$80))*(1-Inputs!$E$29))/Base!$T$42</f>
        <v>1.30304208981866</v>
      </c>
      <c r="F45" s="43" t="n">
        <f aca="false">(Base!$T$41+((Base!$T$21*(1+$B45)/(1+Inputs!$E$67))*(Inputs!$E$57+Inputs!$E$80+F$39)-Base!$T$21*(Inputs!$E$57+Inputs!$E$80))*(1-Inputs!$E$29))/Base!$T$42</f>
        <v>1.62002019706679</v>
      </c>
      <c r="G45" s="43" t="n">
        <f aca="false">(Base!$T$41+((Base!$T$21*(1+$B45)/(1+Inputs!$E$67))*(Inputs!$E$57+Inputs!$E$80+G$39)-Base!$T$21*(Inputs!$E$57+Inputs!$E$80))*(1-Inputs!$E$29))/Base!$T$42</f>
        <v>1.93699830431492</v>
      </c>
      <c r="H45" s="43" t="n">
        <f aca="false">(Base!$T$41+((Base!$T$21*(1+$B45)/(1+Inputs!$E$67))*(Inputs!$E$57+Inputs!$E$80+H$39)-Base!$T$21*(Inputs!$E$57+Inputs!$E$80))*(1-Inputs!$E$29))/Base!$T$42</f>
        <v>2.25397641156304</v>
      </c>
    </row>
    <row r="46" customFormat="false" ht="15" hidden="false" customHeight="false" outlineLevel="0" collapsed="false">
      <c r="B46" s="13" t="s">
        <v>366</v>
      </c>
    </row>
    <row r="48" customFormat="false" ht="39.55" hidden="false" customHeight="false" outlineLevel="0" collapsed="false">
      <c r="B48" s="38" t="s">
        <v>367</v>
      </c>
      <c r="C48" s="38"/>
      <c r="D48" s="38" t="s">
        <v>368</v>
      </c>
    </row>
    <row r="49" customFormat="false" ht="15" hidden="false" customHeight="false" outlineLevel="0" collapsed="false">
      <c r="B49" s="13" t="s">
        <v>369</v>
      </c>
      <c r="C49" s="37" t="n">
        <v>5</v>
      </c>
      <c r="D49" s="37" t="n">
        <v>6</v>
      </c>
      <c r="E49" s="37" t="n">
        <v>7</v>
      </c>
      <c r="F49" s="37" t="n">
        <v>8</v>
      </c>
      <c r="G49" s="37" t="n">
        <v>9</v>
      </c>
      <c r="H49" s="37" t="n">
        <v>10</v>
      </c>
    </row>
    <row r="50" customFormat="false" ht="15" hidden="false" customHeight="false" outlineLevel="0" collapsed="false">
      <c r="B50" s="36" t="n">
        <v>600</v>
      </c>
      <c r="C50" s="43" t="n">
        <f aca="false">(MAX(0,Base!$T$100*C$49)+Base!$T$104+Base!$T$105+$B50)/Inputs!$E$50</f>
        <v>17.0892171626497</v>
      </c>
      <c r="D50" s="43" t="n">
        <f aca="false">(MAX(0,Base!$T$100*D$49)+Base!$T$104+Base!$T$105+$B50)/Inputs!$E$50</f>
        <v>18.4109653570844</v>
      </c>
      <c r="E50" s="43" t="n">
        <f aca="false">(MAX(0,Base!$T$100*E$49)+Base!$T$104+Base!$T$105+$B50)/Inputs!$E$50</f>
        <v>19.7327135515191</v>
      </c>
      <c r="F50" s="43" t="n">
        <f aca="false">(MAX(0,Base!$T$100*F$49)+Base!$T$104+Base!$T$105+$B50)/Inputs!$E$50</f>
        <v>21.0544617459538</v>
      </c>
      <c r="G50" s="43" t="n">
        <f aca="false">(MAX(0,Base!$T$100*G$49)+Base!$T$104+Base!$T$105+$B50)/Inputs!$E$50</f>
        <v>22.3762099403885</v>
      </c>
      <c r="H50" s="43" t="n">
        <f aca="false">(MAX(0,Base!$T$100*H$49)+Base!$T$104+Base!$T$105+$B50)/Inputs!$E$50</f>
        <v>23.6979581348232</v>
      </c>
    </row>
    <row r="51" customFormat="false" ht="15" hidden="false" customHeight="false" outlineLevel="0" collapsed="false">
      <c r="B51" s="36" t="n">
        <v>900</v>
      </c>
      <c r="C51" s="43" t="n">
        <f aca="false">(MAX(0,Base!$T$100*C$49)+Base!$T$104+Base!$T$105+$B51)/Inputs!$E$50</f>
        <v>19.9463600197926</v>
      </c>
      <c r="D51" s="43" t="n">
        <f aca="false">(MAX(0,Base!$T$100*D$49)+Base!$T$104+Base!$T$105+$B51)/Inputs!$E$50</f>
        <v>21.2681082142273</v>
      </c>
      <c r="E51" s="43" t="n">
        <f aca="false">(MAX(0,Base!$T$100*E$49)+Base!$T$104+Base!$T$105+$B51)/Inputs!$E$50</f>
        <v>22.589856408662</v>
      </c>
      <c r="F51" s="43" t="n">
        <f aca="false">(MAX(0,Base!$T$100*F$49)+Base!$T$104+Base!$T$105+$B51)/Inputs!$E$50</f>
        <v>23.9116046030967</v>
      </c>
      <c r="G51" s="43" t="n">
        <f aca="false">(MAX(0,Base!$T$100*G$49)+Base!$T$104+Base!$T$105+$B51)/Inputs!$E$50</f>
        <v>25.2333527975314</v>
      </c>
      <c r="H51" s="43" t="n">
        <f aca="false">(MAX(0,Base!$T$100*H$49)+Base!$T$104+Base!$T$105+$B51)/Inputs!$E$50</f>
        <v>26.5551009919661</v>
      </c>
    </row>
    <row r="52" customFormat="false" ht="15" hidden="false" customHeight="false" outlineLevel="0" collapsed="false">
      <c r="B52" s="36" t="n">
        <v>1200</v>
      </c>
      <c r="C52" s="43" t="n">
        <f aca="false">(MAX(0,Base!$T$100*C$49)+Base!$T$104+Base!$T$105+$B52)/Inputs!$E$50</f>
        <v>22.8035028769354</v>
      </c>
      <c r="D52" s="43" t="n">
        <f aca="false">(MAX(0,Base!$T$100*D$49)+Base!$T$104+Base!$T$105+$B52)/Inputs!$E$50</f>
        <v>24.1252510713701</v>
      </c>
      <c r="E52" s="43" t="n">
        <f aca="false">(MAX(0,Base!$T$100*E$49)+Base!$T$104+Base!$T$105+$B52)/Inputs!$E$50</f>
        <v>25.4469992658048</v>
      </c>
      <c r="F52" s="43" t="n">
        <f aca="false">(MAX(0,Base!$T$100*F$49)+Base!$T$104+Base!$T$105+$B52)/Inputs!$E$50</f>
        <v>26.7687474602395</v>
      </c>
      <c r="G52" s="43" t="n">
        <f aca="false">(MAX(0,Base!$T$100*G$49)+Base!$T$104+Base!$T$105+$B52)/Inputs!$E$50</f>
        <v>28.0904956546743</v>
      </c>
      <c r="H52" s="43" t="n">
        <f aca="false">(MAX(0,Base!$T$100*H$49)+Base!$T$104+Base!$T$105+$B52)/Inputs!$E$50</f>
        <v>29.412243849109</v>
      </c>
    </row>
    <row r="53" customFormat="false" ht="15" hidden="false" customHeight="false" outlineLevel="0" collapsed="false">
      <c r="B53" s="36" t="n">
        <v>1500</v>
      </c>
      <c r="C53" s="43" t="n">
        <f aca="false">(MAX(0,Base!$T$100*C$49)+Base!$T$104+Base!$T$105+$B53)/Inputs!$E$50</f>
        <v>25.6606457340783</v>
      </c>
      <c r="D53" s="43" t="n">
        <f aca="false">(MAX(0,Base!$T$100*D$49)+Base!$T$104+Base!$T$105+$B53)/Inputs!$E$50</f>
        <v>26.982393928513</v>
      </c>
      <c r="E53" s="43" t="n">
        <f aca="false">(MAX(0,Base!$T$100*E$49)+Base!$T$104+Base!$T$105+$B53)/Inputs!$E$50</f>
        <v>28.3041421229477</v>
      </c>
      <c r="F53" s="43" t="n">
        <f aca="false">(MAX(0,Base!$T$100*F$49)+Base!$T$104+Base!$T$105+$B53)/Inputs!$E$50</f>
        <v>29.6258903173824</v>
      </c>
      <c r="G53" s="43" t="n">
        <f aca="false">(MAX(0,Base!$T$100*G$49)+Base!$T$104+Base!$T$105+$B53)/Inputs!$E$50</f>
        <v>30.9476385118171</v>
      </c>
      <c r="H53" s="43" t="n">
        <f aca="false">(MAX(0,Base!$T$100*H$49)+Base!$T$104+Base!$T$105+$B53)/Inputs!$E$50</f>
        <v>32.2693867062518</v>
      </c>
    </row>
    <row r="54" customFormat="false" ht="15" hidden="false" customHeight="false" outlineLevel="0" collapsed="false">
      <c r="B54" s="36" t="n">
        <v>1800</v>
      </c>
      <c r="C54" s="43" t="n">
        <f aca="false">(MAX(0,Base!$T$100*C$49)+Base!$T$104+Base!$T$105+$B54)/Inputs!$E$50</f>
        <v>28.5177885912211</v>
      </c>
      <c r="D54" s="43" t="n">
        <f aca="false">(MAX(0,Base!$T$100*D$49)+Base!$T$104+Base!$T$105+$B54)/Inputs!$E$50</f>
        <v>29.8395367856559</v>
      </c>
      <c r="E54" s="43" t="n">
        <f aca="false">(MAX(0,Base!$T$100*E$49)+Base!$T$104+Base!$T$105+$B54)/Inputs!$E$50</f>
        <v>31.1612849800906</v>
      </c>
      <c r="F54" s="43" t="n">
        <f aca="false">(MAX(0,Base!$T$100*F$49)+Base!$T$104+Base!$T$105+$B54)/Inputs!$E$50</f>
        <v>32.4830331745253</v>
      </c>
      <c r="G54" s="43" t="n">
        <f aca="false">(MAX(0,Base!$T$100*G$49)+Base!$T$104+Base!$T$105+$B54)/Inputs!$E$50</f>
        <v>33.80478136896</v>
      </c>
      <c r="H54" s="43" t="n">
        <f aca="false">(MAX(0,Base!$T$100*H$49)+Base!$T$104+Base!$T$105+$B54)/Inputs!$E$50</f>
        <v>35.1265295633947</v>
      </c>
    </row>
    <row r="56" customFormat="false" ht="26.85" hidden="false" customHeight="false" outlineLevel="0" collapsed="false">
      <c r="B56" s="38" t="s">
        <v>370</v>
      </c>
      <c r="C56" s="38"/>
      <c r="D56" s="38" t="s">
        <v>371</v>
      </c>
    </row>
    <row r="57" customFormat="false" ht="15" hidden="false" customHeight="false" outlineLevel="0" collapsed="false">
      <c r="B57" s="13" t="s">
        <v>372</v>
      </c>
      <c r="C57" s="28" t="n">
        <v>0.1</v>
      </c>
      <c r="D57" s="28" t="n">
        <v>0.15</v>
      </c>
      <c r="E57" s="28" t="n">
        <v>0.2</v>
      </c>
      <c r="F57" s="28" t="n">
        <v>0.25</v>
      </c>
      <c r="G57" s="28" t="n">
        <v>0.3</v>
      </c>
    </row>
    <row r="58" customFormat="false" ht="15" hidden="false" customHeight="false" outlineLevel="0" collapsed="false">
      <c r="B58" s="28" t="n">
        <v>0.2</v>
      </c>
      <c r="C58" s="43" t="n">
        <f aca="false">$B58*$C$15+C$57*$E$15+(1-$B58-C$57)*$D$15</f>
        <v>19.9463628025811</v>
      </c>
      <c r="D58" s="43" t="n">
        <f aca="false">$B58*$C$15+D$57*$E$15+(1-$B58-D$57)*$D$15</f>
        <v>21.1632967316631</v>
      </c>
      <c r="E58" s="43" t="n">
        <f aca="false">$B58*$C$15+E$57*$E$15+(1-$B58-E$57)*$D$15</f>
        <v>22.3802306607451</v>
      </c>
      <c r="F58" s="43" t="n">
        <f aca="false">$B58*$C$15+F$57*$E$15+(1-$B58-F$57)*$D$15</f>
        <v>23.5971645898271</v>
      </c>
      <c r="G58" s="43" t="n">
        <f aca="false">$B58*$C$15+G$57*$E$15+(1-$B58-G$57)*$D$15</f>
        <v>24.8140985189091</v>
      </c>
    </row>
    <row r="59" customFormat="false" ht="15" hidden="false" customHeight="false" outlineLevel="0" collapsed="false">
      <c r="B59" s="28" t="n">
        <v>0.3</v>
      </c>
      <c r="C59" s="43" t="n">
        <f aca="false">$B59*$C$15+C$57*$E$15+(1-$B59-C$57)*$D$15</f>
        <v>19.3114176011957</v>
      </c>
      <c r="D59" s="43" t="n">
        <f aca="false">$B59*$C$15+D$57*$E$15+(1-$B59-D$57)*$D$15</f>
        <v>20.5283515302776</v>
      </c>
      <c r="E59" s="43" t="n">
        <f aca="false">$B59*$C$15+E$57*$E$15+(1-$B59-E$57)*$D$15</f>
        <v>21.7452854593596</v>
      </c>
      <c r="F59" s="43" t="n">
        <f aca="false">$B59*$C$15+F$57*$E$15+(1-$B59-F$57)*$D$15</f>
        <v>22.9622193884416</v>
      </c>
      <c r="G59" s="43" t="n">
        <f aca="false">$B59*$C$15+G$57*$E$15+(1-$B59-G$57)*$D$15</f>
        <v>24.1791533175236</v>
      </c>
    </row>
    <row r="60" customFormat="false" ht="15" hidden="false" customHeight="false" outlineLevel="0" collapsed="false">
      <c r="B60" s="28" t="n">
        <v>0.4</v>
      </c>
      <c r="C60" s="43" t="n">
        <f aca="false">$B60*$C$15+C$57*$E$15+(1-$B60-C$57)*$D$15</f>
        <v>18.6764723998102</v>
      </c>
      <c r="D60" s="43" t="n">
        <f aca="false">$B60*$C$15+D$57*$E$15+(1-$B60-D$57)*$D$15</f>
        <v>19.8934063288922</v>
      </c>
      <c r="E60" s="43" t="n">
        <f aca="false">$B60*$C$15+E$57*$E$15+(1-$B60-E$57)*$D$15</f>
        <v>21.1103402579741</v>
      </c>
      <c r="F60" s="43" t="n">
        <f aca="false">$B60*$C$15+F$57*$E$15+(1-$B60-F$57)*$D$15</f>
        <v>22.3272741870561</v>
      </c>
      <c r="G60" s="43" t="n">
        <f aca="false">$B60*$C$15+G$57*$E$15+(1-$B60-G$57)*$D$15</f>
        <v>23.5442081161381</v>
      </c>
    </row>
    <row r="61" customFormat="false" ht="15" hidden="false" customHeight="false" outlineLevel="0" collapsed="false">
      <c r="B61" s="28" t="n">
        <v>0.5</v>
      </c>
      <c r="C61" s="43" t="n">
        <f aca="false">$B61*$C$15+C$57*$E$15+(1-$B61-C$57)*$D$15</f>
        <v>18.0415271984247</v>
      </c>
      <c r="D61" s="43" t="n">
        <f aca="false">$B61*$C$15+D$57*$E$15+(1-$B61-D$57)*$D$15</f>
        <v>19.2584611275067</v>
      </c>
      <c r="E61" s="43" t="n">
        <f aca="false">$B61*$C$15+E$57*$E$15+(1-$B61-E$57)*$D$15</f>
        <v>20.4753950565887</v>
      </c>
      <c r="F61" s="43" t="n">
        <f aca="false">$B61*$C$15+F$57*$E$15+(1-$B61-F$57)*$D$15</f>
        <v>21.6923289856706</v>
      </c>
      <c r="G61" s="43" t="n">
        <f aca="false">$B61*$C$15+G$57*$E$15+(1-$B61-G$57)*$D$15</f>
        <v>22.9092629147526</v>
      </c>
    </row>
    <row r="62" customFormat="false" ht="15" hidden="false" customHeight="false" outlineLevel="0" collapsed="false">
      <c r="B62" s="28" t="n">
        <v>0.6</v>
      </c>
      <c r="C62" s="43" t="n">
        <f aca="false">$B62*$C$15+C$57*$E$15+(1-$B62-C$57)*$D$15</f>
        <v>17.4065819970392</v>
      </c>
      <c r="D62" s="43" t="n">
        <f aca="false">$B62*$C$15+D$57*$E$15+(1-$B62-D$57)*$D$15</f>
        <v>18.6235159261212</v>
      </c>
      <c r="E62" s="43" t="n">
        <f aca="false">$B62*$C$15+E$57*$E$15+(1-$B62-E$57)*$D$15</f>
        <v>19.8404498552032</v>
      </c>
      <c r="F62" s="43" t="n">
        <f aca="false">$B62*$C$15+F$57*$E$15+(1-$B62-F$57)*$D$15</f>
        <v>21.0573837842852</v>
      </c>
      <c r="G62" s="43" t="n">
        <f aca="false">$B62*$C$15+G$57*$E$15+(1-$B62-G$57)*$D$15</f>
        <v>22.2743177133671</v>
      </c>
    </row>
    <row r="63" customFormat="false" ht="15" hidden="false" customHeight="false" outlineLevel="0" collapsed="false">
      <c r="B63" s="13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6" min="3" style="0" width="10.51"/>
    <col collapsed="false" customWidth="true" hidden="false" outlineLevel="0" max="17" min="17" style="0" width="2"/>
    <col collapsed="false" customWidth="true" hidden="false" outlineLevel="0" max="22" min="18" style="0" width="10.51"/>
  </cols>
  <sheetData>
    <row r="1" customFormat="false" ht="15" hidden="false" customHeight="false" outlineLevel="0" collapsed="false">
      <c r="A1" s="12" t="s">
        <v>374</v>
      </c>
    </row>
    <row r="2" customFormat="false" ht="15" hidden="false" customHeight="false" outlineLevel="0" collapsed="false">
      <c r="A2" s="13" t="s">
        <v>375</v>
      </c>
    </row>
    <row r="4" customFormat="false" ht="15" hidden="false" customHeight="false" outlineLevel="0" collapsed="false">
      <c r="A4" s="48"/>
      <c r="B4" s="48"/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  <c r="H4" s="15" t="s">
        <v>34</v>
      </c>
      <c r="I4" s="15" t="s">
        <v>35</v>
      </c>
      <c r="J4" s="15" t="s">
        <v>36</v>
      </c>
      <c r="K4" s="15" t="s">
        <v>376</v>
      </c>
      <c r="L4" s="15" t="s">
        <v>377</v>
      </c>
      <c r="M4" s="15" t="s">
        <v>378</v>
      </c>
      <c r="N4" s="15" t="s">
        <v>379</v>
      </c>
      <c r="O4" s="15" t="s">
        <v>380</v>
      </c>
      <c r="P4" s="15" t="s">
        <v>381</v>
      </c>
      <c r="R4" s="15" t="s">
        <v>382</v>
      </c>
      <c r="S4" s="15" t="s">
        <v>383</v>
      </c>
      <c r="T4" s="15" t="s">
        <v>384</v>
      </c>
      <c r="U4" s="15" t="s">
        <v>385</v>
      </c>
      <c r="V4" s="15" t="s">
        <v>386</v>
      </c>
    </row>
    <row r="5" customFormat="false" ht="15" hidden="false" customHeight="false" outlineLevel="0" collapsed="false">
      <c r="A5" s="16" t="s">
        <v>387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R5" s="17"/>
      <c r="S5" s="17"/>
      <c r="T5" s="17"/>
      <c r="U5" s="17"/>
      <c r="V5" s="17"/>
    </row>
    <row r="6" customFormat="false" ht="15" hidden="false" customHeight="false" outlineLevel="0" collapsed="false">
      <c r="A6" s="4" t="s">
        <v>388</v>
      </c>
      <c r="B6" s="13" t="s">
        <v>63</v>
      </c>
      <c r="C6" s="21" t="n">
        <f aca="false">Historicals!C32+Historicals!C33+Historicals!C34+Historicals!C35</f>
        <v>36166</v>
      </c>
      <c r="D6" s="21" t="n">
        <f aca="false">Historicals!D32+Historicals!D33+Historicals!D34+Historicals!D35</f>
        <v>25660</v>
      </c>
      <c r="E6" s="21" t="n">
        <f aca="false">Historicals!E32+Historicals!E33+Historicals!E34+Historicals!E35</f>
        <v>31010</v>
      </c>
      <c r="F6" s="21" t="n">
        <f aca="false">Historicals!F32+Historicals!F33+Historicals!F34+Historicals!F35</f>
        <v>42254</v>
      </c>
      <c r="G6" s="21" t="n">
        <f aca="false">Historicals!G32+Historicals!G33+Historicals!G34+Historicals!G35</f>
        <v>33984</v>
      </c>
      <c r="H6" s="21" t="n">
        <f aca="false">Historicals!H32+Historicals!H33+Historicals!H34+Historicals!H35</f>
        <v>25287</v>
      </c>
      <c r="I6" s="21" t="n">
        <f aca="false">Historicals!I32+Historicals!I33+Historicals!I34+Historicals!I35</f>
        <v>33507</v>
      </c>
      <c r="J6" s="21" t="n">
        <f aca="false">Historicals!J32+Historicals!J33+Historicals!J34+Historicals!J35</f>
        <v>42467</v>
      </c>
      <c r="K6" s="49" t="n">
        <f aca="false">G6*(1+Inputs!$E$66)</f>
        <v>35343.36</v>
      </c>
      <c r="L6" s="49" t="n">
        <f aca="false">H6*(1+Inputs!$E$66)</f>
        <v>26298.48</v>
      </c>
      <c r="M6" s="49" t="n">
        <f aca="false">I6*(1+Inputs!$E$67)</f>
        <v>33842.07</v>
      </c>
      <c r="N6" s="49" t="n">
        <f aca="false">J6*(1+Inputs!$E$67)</f>
        <v>42891.67</v>
      </c>
      <c r="O6" s="49" t="n">
        <f aca="false">K6*(1+Inputs!$E$67)</f>
        <v>35696.7936</v>
      </c>
      <c r="P6" s="49" t="n">
        <f aca="false">L6*(1+Inputs!$E$67)</f>
        <v>26561.4648</v>
      </c>
      <c r="R6" s="21" t="n">
        <f aca="false">SUM(E6:H6)</f>
        <v>132535</v>
      </c>
      <c r="S6" s="49" t="n">
        <f aca="false">SUM(I6:L6)</f>
        <v>137615.84</v>
      </c>
      <c r="T6" s="49" t="n">
        <f aca="false">SUM(M6:P6)</f>
        <v>138991.9984</v>
      </c>
      <c r="U6" s="49" t="n">
        <f aca="false">T6*(1+Inputs!$E$68)</f>
        <v>138991.9984</v>
      </c>
      <c r="V6" s="49" t="n">
        <f aca="false">U6*(1+Inputs!$E$69)</f>
        <v>138991.9984</v>
      </c>
    </row>
    <row r="7" customFormat="false" ht="15" hidden="false" customHeight="false" outlineLevel="0" collapsed="false">
      <c r="A7" s="4" t="s">
        <v>389</v>
      </c>
      <c r="B7" s="13" t="s">
        <v>63</v>
      </c>
      <c r="C7" s="21" t="n">
        <f aca="false">Historicals!C32</f>
        <v>24573</v>
      </c>
      <c r="D7" s="21" t="n">
        <f aca="false">Historicals!D32</f>
        <v>15127</v>
      </c>
      <c r="E7" s="21" t="n">
        <f aca="false">Historicals!E32</f>
        <v>20892</v>
      </c>
      <c r="F7" s="21" t="n">
        <f aca="false">Historicals!F32</f>
        <v>28931</v>
      </c>
      <c r="G7" s="21" t="n">
        <f aca="false">Historicals!G32</f>
        <v>23462</v>
      </c>
      <c r="H7" s="21" t="n">
        <f aca="false">Historicals!H32</f>
        <v>15847</v>
      </c>
      <c r="I7" s="21" t="n">
        <f aca="false">Historicals!I32</f>
        <v>23803</v>
      </c>
      <c r="J7" s="21" t="n">
        <f aca="false">Historicals!J32</f>
        <v>29751</v>
      </c>
      <c r="R7" s="21" t="n">
        <f aca="false">SUM(E7:H7)</f>
        <v>89132</v>
      </c>
      <c r="S7" s="50"/>
      <c r="T7" s="50"/>
      <c r="U7" s="50"/>
      <c r="V7" s="50"/>
    </row>
    <row r="8" customFormat="false" ht="15" hidden="false" customHeight="false" outlineLevel="0" collapsed="false">
      <c r="A8" s="4" t="s">
        <v>390</v>
      </c>
      <c r="B8" s="13" t="s">
        <v>73</v>
      </c>
      <c r="G8" s="30" t="n">
        <f aca="false">G6/C6-1</f>
        <v>-0.0603329093623846</v>
      </c>
      <c r="H8" s="30" t="n">
        <f aca="false">H6/D6-1</f>
        <v>-0.0145362431800468</v>
      </c>
      <c r="I8" s="30" t="n">
        <f aca="false">I6/E6-1</f>
        <v>0.0805224121251209</v>
      </c>
      <c r="J8" s="30" t="n">
        <f aca="false">J6/F6-1</f>
        <v>0.00504094286931411</v>
      </c>
      <c r="K8" s="51" t="n">
        <f aca="false">K6/G6-1</f>
        <v>0.04</v>
      </c>
      <c r="L8" s="51" t="n">
        <f aca="false">L6/H6-1</f>
        <v>0.04</v>
      </c>
      <c r="M8" s="51" t="n">
        <f aca="false">M6/I6-1</f>
        <v>0.01</v>
      </c>
      <c r="N8" s="51" t="n">
        <f aca="false">N6/J6-1</f>
        <v>0.01</v>
      </c>
      <c r="O8" s="51" t="n">
        <f aca="false">O6/K6-1</f>
        <v>0.01</v>
      </c>
      <c r="P8" s="51" t="n">
        <f aca="false">P6/L6-1</f>
        <v>0.01</v>
      </c>
      <c r="S8" s="51" t="n">
        <f aca="false">S6/R6-1</f>
        <v>0.0383358358169539</v>
      </c>
      <c r="T8" s="51" t="n">
        <f aca="false">T6/S6-1</f>
        <v>0.00999999999999979</v>
      </c>
      <c r="U8" s="51" t="n">
        <f aca="false">U6/T6-1</f>
        <v>0</v>
      </c>
      <c r="V8" s="51" t="n">
        <f aca="false">V6/U6-1</f>
        <v>0</v>
      </c>
    </row>
    <row r="9" customFormat="false" ht="15" hidden="false" customHeight="false" outlineLevel="0" collapsed="false">
      <c r="A9" s="3" t="s">
        <v>391</v>
      </c>
      <c r="B9" s="13" t="s">
        <v>63</v>
      </c>
      <c r="C9" s="52" t="n">
        <f aca="false">Historicals!C27</f>
        <v>27520</v>
      </c>
      <c r="D9" s="52" t="n">
        <f aca="false">Historicals!D27</f>
        <v>14010</v>
      </c>
      <c r="E9" s="52" t="n">
        <f aca="false">Historicals!E27</f>
        <v>38601</v>
      </c>
      <c r="F9" s="52" t="n">
        <f aca="false">Historicals!F27</f>
        <v>35837</v>
      </c>
      <c r="G9" s="52" t="n">
        <f aca="false">Historicals!G27</f>
        <v>36524</v>
      </c>
      <c r="H9" s="52" t="n">
        <f aca="false">Historicals!H27</f>
        <v>13515</v>
      </c>
      <c r="I9" s="52" t="n">
        <f aca="false">Historicals!I27</f>
        <v>37295</v>
      </c>
      <c r="J9" s="52" t="n">
        <f aca="false">Historicals!J27</f>
        <v>39209</v>
      </c>
      <c r="K9" s="53" t="n">
        <f aca="false">(Inputs!$E$70-I9-J9)*Inputs!$E$38</f>
        <v>35697.6</v>
      </c>
      <c r="L9" s="53" t="n">
        <f aca="false">Inputs!$E$70-I9-J9-K9</f>
        <v>23798.4</v>
      </c>
      <c r="M9" s="53" t="n">
        <f aca="false">$T9*Inputs!$E$39</f>
        <v>39306.93714752</v>
      </c>
      <c r="N9" s="53" t="n">
        <f aca="false">$T9*Inputs!$E$40</f>
        <v>40710.75633136</v>
      </c>
      <c r="O9" s="53" t="n">
        <f aca="false">$T9*Inputs!$E$41</f>
        <v>36499.29877984</v>
      </c>
      <c r="P9" s="53" t="n">
        <f aca="false">$T9*Inputs!$E$42</f>
        <v>23864.92612528</v>
      </c>
      <c r="R9" s="52" t="n">
        <f aca="false">SUM(E9:H9)</f>
        <v>124477</v>
      </c>
      <c r="S9" s="53" t="n">
        <f aca="false">SUM(I9:L9)</f>
        <v>136000</v>
      </c>
      <c r="T9" s="53" t="n">
        <f aca="false">T6*(1+Inputs!$E$71)</f>
        <v>140381.918384</v>
      </c>
      <c r="U9" s="53" t="n">
        <f aca="false">U6*(1+Inputs!$E$72)</f>
        <v>138991.9984</v>
      </c>
      <c r="V9" s="53" t="n">
        <f aca="false">V6*(1+Inputs!$E$73)</f>
        <v>138991.9984</v>
      </c>
    </row>
    <row r="10" customFormat="false" ht="15" hidden="false" customHeight="false" outlineLevel="0" collapsed="false">
      <c r="A10" s="4" t="s">
        <v>392</v>
      </c>
      <c r="B10" s="13" t="s">
        <v>73</v>
      </c>
      <c r="G10" s="30" t="n">
        <f aca="false">G9/C9-1</f>
        <v>0.327180232558139</v>
      </c>
      <c r="H10" s="30" t="n">
        <f aca="false">H9/D9-1</f>
        <v>-0.0353319057815846</v>
      </c>
      <c r="I10" s="30" t="n">
        <f aca="false">I9/E9-1</f>
        <v>-0.0338333203803011</v>
      </c>
      <c r="J10" s="30" t="n">
        <f aca="false">J9/F9-1</f>
        <v>0.0940926974914196</v>
      </c>
      <c r="K10" s="51" t="n">
        <f aca="false">K9/G9-1</f>
        <v>-0.0226262183769577</v>
      </c>
      <c r="L10" s="51" t="n">
        <f aca="false">L9/H9-1</f>
        <v>0.760887902330744</v>
      </c>
      <c r="M10" s="51" t="n">
        <f aca="false">M9/I9-1</f>
        <v>0.0539465651567235</v>
      </c>
      <c r="N10" s="51" t="n">
        <f aca="false">N9/J9-1</f>
        <v>0.0383013168241984</v>
      </c>
      <c r="O10" s="51" t="n">
        <f aca="false">O9/K9-1</f>
        <v>0.02245805824033</v>
      </c>
      <c r="P10" s="51" t="n">
        <f aca="false">P9/L9-1</f>
        <v>0.00279540327416949</v>
      </c>
      <c r="S10" s="51" t="n">
        <f aca="false">S9/R9-1</f>
        <v>0.0925713183961696</v>
      </c>
      <c r="T10" s="51" t="n">
        <f aca="false">T9/S9-1</f>
        <v>0.032219988117647</v>
      </c>
      <c r="U10" s="51" t="n">
        <f aca="false">U9/T9-1</f>
        <v>-0.00990099009900991</v>
      </c>
      <c r="V10" s="51" t="n">
        <f aca="false">V9/U9-1</f>
        <v>0</v>
      </c>
    </row>
    <row r="11" customFormat="false" ht="15" hidden="false" customHeight="false" outlineLevel="0" collapsed="false">
      <c r="A11" s="4" t="s">
        <v>393</v>
      </c>
      <c r="B11" s="13" t="s">
        <v>63</v>
      </c>
      <c r="C11" s="21" t="n">
        <f aca="false">C9-C6</f>
        <v>-8646</v>
      </c>
      <c r="D11" s="21" t="n">
        <f aca="false">D9-D6</f>
        <v>-11650</v>
      </c>
      <c r="E11" s="21" t="n">
        <f aca="false">E9-E6</f>
        <v>7591</v>
      </c>
      <c r="F11" s="21" t="n">
        <f aca="false">F9-F6</f>
        <v>-6417</v>
      </c>
      <c r="G11" s="21" t="n">
        <f aca="false">G9-G6</f>
        <v>2540</v>
      </c>
      <c r="H11" s="21" t="n">
        <f aca="false">H9-H6</f>
        <v>-11772</v>
      </c>
      <c r="I11" s="21" t="n">
        <f aca="false">I9-I6</f>
        <v>3788</v>
      </c>
      <c r="J11" s="21" t="n">
        <f aca="false">J9-J6</f>
        <v>-3258</v>
      </c>
      <c r="K11" s="49" t="n">
        <f aca="false">K9-K6</f>
        <v>354.239999999998</v>
      </c>
      <c r="L11" s="49" t="n">
        <f aca="false">L9-L6</f>
        <v>-2500.08</v>
      </c>
      <c r="M11" s="49" t="n">
        <f aca="false">M9-M6</f>
        <v>5464.86714752</v>
      </c>
      <c r="N11" s="49" t="n">
        <f aca="false">N9-N6</f>
        <v>-2180.91366864</v>
      </c>
      <c r="O11" s="49" t="n">
        <f aca="false">O9-O6</f>
        <v>802.505179839995</v>
      </c>
      <c r="P11" s="49" t="n">
        <f aca="false">P9-P6</f>
        <v>-2696.53867472001</v>
      </c>
      <c r="R11" s="21" t="n">
        <f aca="false">R9-R6</f>
        <v>-8058</v>
      </c>
      <c r="S11" s="49" t="n">
        <f aca="false">S9-S6</f>
        <v>-1615.84</v>
      </c>
      <c r="T11" s="49" t="n">
        <f aca="false">T9-T6</f>
        <v>1389.91998400001</v>
      </c>
      <c r="U11" s="49" t="n">
        <f aca="false">U9-U6</f>
        <v>0</v>
      </c>
      <c r="V11" s="49" t="n">
        <f aca="false">V9-V6</f>
        <v>0</v>
      </c>
    </row>
    <row r="12" customFormat="false" ht="15" hidden="false" customHeight="false" outlineLevel="0" collapsed="false">
      <c r="A12" s="4" t="s">
        <v>394</v>
      </c>
      <c r="B12" s="13" t="s">
        <v>73</v>
      </c>
      <c r="G12" s="30" t="n">
        <f aca="false">Historicals!G36</f>
        <v>-0.13</v>
      </c>
      <c r="H12" s="30" t="n">
        <f aca="false">Historicals!H36</f>
        <v>-0.17</v>
      </c>
      <c r="I12" s="30" t="n">
        <f aca="false">Historicals!I36</f>
        <v>-0.22</v>
      </c>
      <c r="J12" s="30" t="n">
        <f aca="false">Historicals!J36</f>
        <v>-0.17</v>
      </c>
    </row>
    <row r="13" customFormat="false" ht="15" hidden="false" customHeight="false" outlineLevel="0" collapsed="false">
      <c r="A13" s="4" t="s">
        <v>395</v>
      </c>
      <c r="B13" s="13" t="s">
        <v>73</v>
      </c>
      <c r="C13" s="30" t="n">
        <f aca="false">Historicals!C30/Historicals!C27</f>
        <v>0.0643168604651163</v>
      </c>
      <c r="D13" s="30" t="n">
        <f aca="false">Historicals!D30/Historicals!D27</f>
        <v>0.107637401855817</v>
      </c>
      <c r="E13" s="30" t="n">
        <f aca="false">Historicals!E30/Historicals!E27</f>
        <v>0.0546099841973006</v>
      </c>
      <c r="F13" s="30" t="n">
        <f aca="false">Historicals!F30/Historicals!F27</f>
        <v>0.088958339146692</v>
      </c>
      <c r="G13" s="30" t="n">
        <f aca="false">Historicals!G30/Historicals!G27</f>
        <v>0.071952688643084</v>
      </c>
      <c r="H13" s="30" t="n">
        <f aca="false">Historicals!H30/Historicals!H27</f>
        <v>0.126822049574547</v>
      </c>
      <c r="I13" s="30" t="n">
        <f aca="false">Historicals!I30/Historicals!I27</f>
        <v>0.100040219868615</v>
      </c>
      <c r="J13" s="30" t="n">
        <f aca="false">Historicals!J30/Historicals!J27</f>
        <v>0.117753576984876</v>
      </c>
    </row>
    <row r="14" customFormat="false" ht="15" hidden="false" customHeight="false" outlineLevel="0" collapsed="false">
      <c r="A14" s="4" t="s">
        <v>396</v>
      </c>
      <c r="B14" s="13" t="s">
        <v>73</v>
      </c>
      <c r="C14" s="30" t="n">
        <f aca="false">Historicals!C28/Historicals!C27</f>
        <v>0.56297238372093</v>
      </c>
      <c r="D14" s="30" t="n">
        <f aca="false">Historicals!D28/Historicals!D27</f>
        <v>0.397073518915061</v>
      </c>
      <c r="E14" s="30" t="n">
        <f aca="false">Historicals!E28/Historicals!E27</f>
        <v>0.613403797829072</v>
      </c>
      <c r="F14" s="30" t="n">
        <f aca="false">Historicals!F28/Historicals!F27</f>
        <v>0.504506515612356</v>
      </c>
      <c r="G14" s="30" t="n">
        <f aca="false">Historicals!G28/Historicals!G27</f>
        <v>0.603301938451429</v>
      </c>
      <c r="H14" s="30" t="n">
        <f aca="false">Historicals!H28/Historicals!H27</f>
        <v>0.403921568627451</v>
      </c>
      <c r="I14" s="30" t="n">
        <f aca="false">Historicals!I28/Historicals!I27</f>
        <v>0.577021048397909</v>
      </c>
      <c r="J14" s="30" t="n">
        <f aca="false">Historicals!J28/Historicals!J27</f>
        <v>0.500930908719937</v>
      </c>
    </row>
    <row r="16" customFormat="false" ht="15" hidden="false" customHeight="false" outlineLevel="0" collapsed="false">
      <c r="A16" s="16" t="s">
        <v>397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R16" s="17"/>
      <c r="S16" s="17"/>
      <c r="T16" s="17"/>
      <c r="U16" s="17"/>
      <c r="V16" s="17"/>
    </row>
    <row r="17" customFormat="false" ht="15" hidden="false" customHeight="false" outlineLevel="0" collapsed="false">
      <c r="A17" s="4" t="s">
        <v>398</v>
      </c>
      <c r="B17" s="13" t="s">
        <v>39</v>
      </c>
      <c r="C17" s="35" t="n">
        <f aca="false">Historicals!C6/Historicals!C27</f>
        <v>22.3702034883721</v>
      </c>
      <c r="D17" s="35" t="n">
        <f aca="false">Historicals!D6/Historicals!D27</f>
        <v>16.5217701641685</v>
      </c>
      <c r="E17" s="35" t="n">
        <f aca="false">Historicals!E6/Historicals!E27</f>
        <v>22.379290691951</v>
      </c>
      <c r="F17" s="35" t="n">
        <f aca="false">Historicals!F6/Historicals!F27</f>
        <v>21.7108295895304</v>
      </c>
      <c r="G17" s="35" t="n">
        <f aca="false">Historicals!G6/Historicals!G27</f>
        <v>22.5020260650531</v>
      </c>
      <c r="H17" s="35" t="n">
        <f aca="false">Historicals!H6/Historicals!H27</f>
        <v>14.3456899741028</v>
      </c>
      <c r="I17" s="35" t="n">
        <f aca="false">Historicals!I6/Historicals!I27</f>
        <v>22.4237565357287</v>
      </c>
      <c r="J17" s="35" t="n">
        <f aca="false">Historicals!J6/Historicals!J27</f>
        <v>21.6291412685863</v>
      </c>
      <c r="K17" s="54" t="n">
        <f aca="false">Inputs!$E$60*(1+Inputs!$E$74)</f>
        <v>22.016508940709</v>
      </c>
      <c r="L17" s="54" t="n">
        <f aca="false">Inputs!$E$60*(1+Inputs!$E$74)</f>
        <v>22.016508940709</v>
      </c>
      <c r="M17" s="54" t="n">
        <f aca="false">$K17*(1+Inputs!$E$75)</f>
        <v>21.7963438513019</v>
      </c>
      <c r="N17" s="54" t="n">
        <f aca="false">$K17*(1+Inputs!$E$75)</f>
        <v>21.7963438513019</v>
      </c>
      <c r="O17" s="54" t="n">
        <f aca="false">$K17*(1+Inputs!$E$75)</f>
        <v>21.7963438513019</v>
      </c>
      <c r="P17" s="54" t="n">
        <f aca="false">$K17*(1+Inputs!$E$75)</f>
        <v>21.7963438513019</v>
      </c>
      <c r="R17" s="35" t="n">
        <f aca="false">R18/R9*1000</f>
        <v>21.3506109562409</v>
      </c>
      <c r="S17" s="54" t="n">
        <f aca="false">S18/S9*1000</f>
        <v>22.016508940709</v>
      </c>
      <c r="T17" s="54" t="n">
        <f aca="false">T18/T9*1000</f>
        <v>21.7963438513019</v>
      </c>
      <c r="U17" s="54" t="n">
        <f aca="false">T17*(1+Inputs!$E$76)</f>
        <v>21.7963438513019</v>
      </c>
      <c r="V17" s="54" t="n">
        <f aca="false">U17*(1+Inputs!$E$77)</f>
        <v>22.0143072898149</v>
      </c>
    </row>
    <row r="18" customFormat="false" ht="15" hidden="false" customHeight="false" outlineLevel="0" collapsed="false">
      <c r="A18" s="4" t="s">
        <v>38</v>
      </c>
      <c r="B18" s="13" t="s">
        <v>135</v>
      </c>
      <c r="C18" s="31" t="n">
        <f aca="false">Historicals!C6/1000</f>
        <v>615.628</v>
      </c>
      <c r="D18" s="31" t="n">
        <f aca="false">Historicals!D6/1000</f>
        <v>231.47</v>
      </c>
      <c r="E18" s="31" t="n">
        <f aca="false">Historicals!E6/1000</f>
        <v>863.863</v>
      </c>
      <c r="F18" s="31" t="n">
        <f aca="false">Historicals!F6/1000</f>
        <v>778.051</v>
      </c>
      <c r="G18" s="31" t="n">
        <f aca="false">Historicals!G6/1000</f>
        <v>821.864</v>
      </c>
      <c r="H18" s="31" t="n">
        <f aca="false">Historicals!H6/1000</f>
        <v>193.882</v>
      </c>
      <c r="I18" s="31" t="n">
        <f aca="false">Historicals!I6/1000</f>
        <v>836.294</v>
      </c>
      <c r="J18" s="31" t="n">
        <f aca="false">Historicals!J6/1000</f>
        <v>848.057</v>
      </c>
      <c r="K18" s="55" t="n">
        <f aca="false">K9*K17/1000</f>
        <v>785.936529561853</v>
      </c>
      <c r="L18" s="55" t="n">
        <f aca="false">L9*L17/1000</f>
        <v>523.957686374569</v>
      </c>
      <c r="M18" s="55" t="n">
        <f aca="false">M9*M17/1000</f>
        <v>856.747517808858</v>
      </c>
      <c r="N18" s="55" t="n">
        <f aca="false">N9*N17/1000</f>
        <v>887.345643444888</v>
      </c>
      <c r="O18" s="55" t="n">
        <f aca="false">O9*O17/1000</f>
        <v>795.551266536796</v>
      </c>
      <c r="P18" s="55" t="n">
        <f aca="false">P9*P17/1000</f>
        <v>520.168135812521</v>
      </c>
      <c r="R18" s="31" t="n">
        <f aca="false">SUM(E18:H18)</f>
        <v>2657.66</v>
      </c>
      <c r="S18" s="55" t="n">
        <f aca="false">SUM(I18:L18)</f>
        <v>2994.24521593642</v>
      </c>
      <c r="T18" s="55" t="n">
        <f aca="false">SUM(M18:P18)</f>
        <v>3059.81256360306</v>
      </c>
      <c r="U18" s="55" t="n">
        <f aca="false">U9*U17/1000</f>
        <v>3029.517389706</v>
      </c>
      <c r="V18" s="55" t="n">
        <f aca="false">V9*V17/1000</f>
        <v>3059.81256360306</v>
      </c>
    </row>
    <row r="19" customFormat="false" ht="15" hidden="false" customHeight="false" outlineLevel="0" collapsed="false">
      <c r="A19" s="4" t="s">
        <v>399</v>
      </c>
      <c r="B19" s="13" t="s">
        <v>135</v>
      </c>
      <c r="C19" s="31" t="n">
        <f aca="false">(Historicals!C7)/1000</f>
        <v>174.301</v>
      </c>
      <c r="D19" s="31" t="n">
        <f aca="false">(Historicals!D7)/1000</f>
        <v>117.605</v>
      </c>
      <c r="E19" s="31" t="n">
        <f aca="false">(Historicals!E7)/1000</f>
        <v>143.433</v>
      </c>
      <c r="F19" s="31" t="n">
        <f aca="false">(Historicals!F7)/1000</f>
        <v>186.874</v>
      </c>
      <c r="G19" s="31" t="n">
        <f aca="false">(Historicals!G7)/1000</f>
        <v>167.252</v>
      </c>
      <c r="H19" s="31" t="n">
        <f aca="false">(Historicals!H7)/1000</f>
        <v>116.513</v>
      </c>
      <c r="I19" s="31" t="n">
        <f aca="false">(Historicals!I7)/1000</f>
        <v>142.243</v>
      </c>
      <c r="J19" s="31" t="n">
        <f aca="false">(Historicals!J7)/1000</f>
        <v>176.95</v>
      </c>
      <c r="K19" s="55" t="n">
        <f aca="false">G19*(1+Inputs!$E$78)</f>
        <v>165.57948</v>
      </c>
      <c r="L19" s="55" t="n">
        <f aca="false">H19*(1+Inputs!$E$78)</f>
        <v>115.34787</v>
      </c>
      <c r="M19" s="55" t="n">
        <f aca="false">I19*(1+Inputs!$E$78)</f>
        <v>140.82057</v>
      </c>
      <c r="N19" s="55" t="n">
        <f aca="false">J19*(1+Inputs!$E$78)</f>
        <v>175.1805</v>
      </c>
      <c r="O19" s="55" t="n">
        <f aca="false">K19*(1+Inputs!$E$78)</f>
        <v>163.9236852</v>
      </c>
      <c r="P19" s="55" t="n">
        <f aca="false">L19*(1+Inputs!$E$78)</f>
        <v>114.1943913</v>
      </c>
      <c r="R19" s="31" t="n">
        <f aca="false">SUM(E19:H19)</f>
        <v>614.072</v>
      </c>
      <c r="S19" s="55" t="n">
        <f aca="false">SUM(I19:L19)</f>
        <v>600.12035</v>
      </c>
      <c r="T19" s="55" t="n">
        <f aca="false">SUM(M19:P19)</f>
        <v>594.1191465</v>
      </c>
      <c r="U19" s="55" t="n">
        <f aca="false">T19*(1+Inputs!$E$78)</f>
        <v>588.177955035</v>
      </c>
      <c r="V19" s="55" t="n">
        <f aca="false">U19*(1+Inputs!$E$78)</f>
        <v>582.29617548465</v>
      </c>
    </row>
    <row r="20" customFormat="false" ht="15" hidden="false" customHeight="false" outlineLevel="0" collapsed="false">
      <c r="A20" s="4" t="s">
        <v>400</v>
      </c>
      <c r="B20" s="13" t="s">
        <v>135</v>
      </c>
      <c r="C20" s="31" t="n">
        <f aca="false">(Historicals!C8+Historicals!C9+Historicals!C10)/1000</f>
        <v>86.476</v>
      </c>
      <c r="D20" s="31" t="n">
        <f aca="false">(Historicals!D8+Historicals!D9+Historicals!D10)/1000</f>
        <v>71.414</v>
      </c>
      <c r="E20" s="31" t="n">
        <f aca="false">(Historicals!E8+Historicals!E9+Historicals!E10)/1000</f>
        <v>74.209</v>
      </c>
      <c r="F20" s="31" t="n">
        <f aca="false">(Historicals!F8+Historicals!F9+Historicals!F10)/1000</f>
        <v>78.724</v>
      </c>
      <c r="G20" s="31" t="n">
        <f aca="false">(Historicals!G8+Historicals!G9+Historicals!G10)/1000</f>
        <v>84.843</v>
      </c>
      <c r="H20" s="31" t="n">
        <f aca="false">(Historicals!H8+Historicals!H9+Historicals!H10)/1000</f>
        <v>68.8</v>
      </c>
      <c r="I20" s="31" t="n">
        <f aca="false">(Historicals!I8+Historicals!I9+Historicals!I10)/1000</f>
        <v>76.934</v>
      </c>
      <c r="J20" s="31" t="n">
        <f aca="false">(Historicals!J8+Historicals!J9+Historicals!J10)/1000</f>
        <v>79.273</v>
      </c>
      <c r="K20" s="55" t="n">
        <f aca="false">G20*(1+Inputs!$E$78)</f>
        <v>83.99457</v>
      </c>
      <c r="L20" s="55" t="n">
        <f aca="false">H20*(1+Inputs!$E$78)</f>
        <v>68.112</v>
      </c>
      <c r="M20" s="55" t="n">
        <f aca="false">I20*(1+Inputs!$E$78)</f>
        <v>76.16466</v>
      </c>
      <c r="N20" s="55" t="n">
        <f aca="false">J20*(1+Inputs!$E$78)</f>
        <v>78.48027</v>
      </c>
      <c r="O20" s="55" t="n">
        <f aca="false">K20*(1+Inputs!$E$78)</f>
        <v>83.1546243</v>
      </c>
      <c r="P20" s="55" t="n">
        <f aca="false">L20*(1+Inputs!$E$78)</f>
        <v>67.43088</v>
      </c>
      <c r="R20" s="31" t="n">
        <f aca="false">SUM(E20:H20)</f>
        <v>306.576</v>
      </c>
      <c r="S20" s="55" t="n">
        <f aca="false">SUM(I20:L20)</f>
        <v>308.31357</v>
      </c>
      <c r="T20" s="55" t="n">
        <f aca="false">SUM(M20:P20)</f>
        <v>305.2304343</v>
      </c>
      <c r="U20" s="55" t="n">
        <f aca="false">T20*(1+Inputs!$E$78)</f>
        <v>302.178129957</v>
      </c>
      <c r="V20" s="55" t="n">
        <f aca="false">U20*(1+Inputs!$E$78)</f>
        <v>299.15634865743</v>
      </c>
    </row>
    <row r="21" customFormat="false" ht="15" hidden="false" customHeight="false" outlineLevel="0" collapsed="false">
      <c r="A21" s="3" t="s">
        <v>401</v>
      </c>
      <c r="B21" s="13" t="s">
        <v>135</v>
      </c>
      <c r="C21" s="42" t="n">
        <f aca="false">C18+C19+C20</f>
        <v>876.405</v>
      </c>
      <c r="D21" s="42" t="n">
        <f aca="false">D18+D19+D20</f>
        <v>420.489</v>
      </c>
      <c r="E21" s="42" t="n">
        <f aca="false">E18+E19+E20</f>
        <v>1081.505</v>
      </c>
      <c r="F21" s="42" t="n">
        <f aca="false">F18+F19+F20</f>
        <v>1043.649</v>
      </c>
      <c r="G21" s="42" t="n">
        <f aca="false">G18+G19+G20</f>
        <v>1073.959</v>
      </c>
      <c r="H21" s="42" t="n">
        <f aca="false">H18+H19+H20</f>
        <v>379.195</v>
      </c>
      <c r="I21" s="42" t="n">
        <f aca="false">I18+I19+I20</f>
        <v>1055.471</v>
      </c>
      <c r="J21" s="42" t="n">
        <f aca="false">J18+J19+J20</f>
        <v>1104.28</v>
      </c>
      <c r="K21" s="56" t="n">
        <f aca="false">K18+K19+K20</f>
        <v>1035.51057956185</v>
      </c>
      <c r="L21" s="56" t="n">
        <f aca="false">L18+L19+L20</f>
        <v>707.417556374569</v>
      </c>
      <c r="M21" s="56" t="n">
        <f aca="false">M18+M19+M20</f>
        <v>1073.73274780886</v>
      </c>
      <c r="N21" s="56" t="n">
        <f aca="false">N18+N19+N20</f>
        <v>1141.00641344489</v>
      </c>
      <c r="O21" s="56" t="n">
        <f aca="false">O18+O19+O20</f>
        <v>1042.6295760368</v>
      </c>
      <c r="P21" s="56" t="n">
        <f aca="false">P18+P19+P20</f>
        <v>701.793407112521</v>
      </c>
      <c r="R21" s="42" t="n">
        <f aca="false">R18+R19+R20</f>
        <v>3578.308</v>
      </c>
      <c r="S21" s="56" t="n">
        <f aca="false">S18+S19+S20</f>
        <v>3902.67913593642</v>
      </c>
      <c r="T21" s="56" t="n">
        <f aca="false">T18+T19+T20</f>
        <v>3959.16214440306</v>
      </c>
      <c r="U21" s="56" t="n">
        <f aca="false">U18+U19+U20</f>
        <v>3919.873474698</v>
      </c>
      <c r="V21" s="56" t="n">
        <f aca="false">V18+V19+V20</f>
        <v>3941.26508774514</v>
      </c>
    </row>
    <row r="22" customFormat="false" ht="15" hidden="false" customHeight="false" outlineLevel="0" collapsed="false">
      <c r="A22" s="4" t="s">
        <v>402</v>
      </c>
      <c r="B22" s="13" t="s">
        <v>73</v>
      </c>
      <c r="G22" s="30" t="n">
        <f aca="false">G21/C21-1</f>
        <v>0.225414049440613</v>
      </c>
      <c r="H22" s="30" t="n">
        <f aca="false">H21/D21-1</f>
        <v>-0.0982047092789585</v>
      </c>
      <c r="I22" s="30" t="n">
        <f aca="false">I21/E21-1</f>
        <v>-0.0240720107627798</v>
      </c>
      <c r="J22" s="30" t="n">
        <f aca="false">J21/F21-1</f>
        <v>0.0580952025058232</v>
      </c>
      <c r="K22" s="51" t="n">
        <f aca="false">K21/G21-1</f>
        <v>-0.0358006408421059</v>
      </c>
      <c r="L22" s="51" t="n">
        <f aca="false">L21/H21-1</f>
        <v>0.865577226425899</v>
      </c>
      <c r="M22" s="51" t="n">
        <f aca="false">M21/I21-1</f>
        <v>0.0173019891677342</v>
      </c>
      <c r="N22" s="51" t="n">
        <f aca="false">N21/J21-1</f>
        <v>0.0332582437831783</v>
      </c>
      <c r="O22" s="51" t="n">
        <f aca="false">O21/K21-1</f>
        <v>0.00687486599891196</v>
      </c>
      <c r="P22" s="51" t="n">
        <f aca="false">P21/L21-1</f>
        <v>-0.00795025400680061</v>
      </c>
      <c r="S22" s="51" t="n">
        <f aca="false">S21/R21-1</f>
        <v>0.0906493057435025</v>
      </c>
      <c r="T22" s="51" t="n">
        <f aca="false">T21/S21-1</f>
        <v>0.0144728804237422</v>
      </c>
      <c r="U22" s="51" t="n">
        <f aca="false">U21/T21-1</f>
        <v>-0.00992348084571415</v>
      </c>
      <c r="V22" s="51" t="n">
        <f aca="false">V21/U21-1</f>
        <v>0.00545722028662876</v>
      </c>
    </row>
    <row r="23" customFormat="false" ht="15" hidden="false" customHeight="false" outlineLevel="0" collapsed="false">
      <c r="A23" s="4" t="s">
        <v>44</v>
      </c>
      <c r="B23" s="13" t="s">
        <v>135</v>
      </c>
      <c r="C23" s="31" t="n">
        <f aca="false">Historicals!C11/1000</f>
        <v>263.813</v>
      </c>
      <c r="D23" s="31" t="n">
        <f aca="false">Historicals!D11/1000</f>
        <v>-3.17</v>
      </c>
      <c r="E23" s="31" t="n">
        <f aca="false">Historicals!E11/1000</f>
        <v>315.244</v>
      </c>
      <c r="F23" s="31" t="n">
        <f aca="false">Historicals!F11/1000</f>
        <v>298.705</v>
      </c>
      <c r="G23" s="31" t="n">
        <f aca="false">Historicals!G11/1000</f>
        <v>283.11</v>
      </c>
      <c r="H23" s="31" t="n">
        <f aca="false">Historicals!H11/1000</f>
        <v>-30.467</v>
      </c>
      <c r="I23" s="31" t="n">
        <f aca="false">Historicals!I11/1000</f>
        <v>266.989</v>
      </c>
      <c r="J23" s="31" t="n">
        <f aca="false">Historicals!J11/1000</f>
        <v>304.126</v>
      </c>
      <c r="K23" s="55" t="n">
        <f aca="false">(Inputs!$E$57+Inputs!$E$79)*K21-Inputs!$E$58*(1+Inputs!$E$43)^0</f>
        <v>271.445380648448</v>
      </c>
      <c r="L23" s="55" t="n">
        <f aca="false">(Inputs!$E$57+Inputs!$E$79)*L21-Inputs!$E$58*(1+Inputs!$E$43)^0</f>
        <v>119.725836156886</v>
      </c>
      <c r="M23" s="55" t="n">
        <f aca="false">(Inputs!$E$57+Inputs!$E$80)*M21-Inputs!$E$58*(1+Inputs!$E$43)^1</f>
        <v>284.972315037964</v>
      </c>
      <c r="N23" s="55" t="n">
        <f aca="false">(Inputs!$E$57+Inputs!$E$80)*N21-Inputs!$E$58*(1+Inputs!$E$43)^1</f>
        <v>316.081571209955</v>
      </c>
      <c r="O23" s="55" t="n">
        <f aca="false">(Inputs!$E$57+Inputs!$E$80)*O21-Inputs!$E$58*(1+Inputs!$E$43)^1</f>
        <v>270.589323873881</v>
      </c>
      <c r="P23" s="55" t="n">
        <f aca="false">(Inputs!$E$57+Inputs!$E$80)*P21-Inputs!$E$58*(1+Inputs!$E$43)^1</f>
        <v>112.976986393844</v>
      </c>
      <c r="R23" s="31" t="n">
        <f aca="false">SUM(E23:H23)</f>
        <v>866.592</v>
      </c>
      <c r="S23" s="55" t="n">
        <f aca="false">SUM(I23:L23)</f>
        <v>962.286216805334</v>
      </c>
      <c r="T23" s="55" t="n">
        <f aca="false">SUM(M23:P23)</f>
        <v>984.620196515644</v>
      </c>
      <c r="U23" s="55" t="n">
        <f aca="false">(Inputs!$E$57+Inputs!$E$80)*U21-4*Inputs!$E$58*(1+Inputs!$E$43)^2</f>
        <v>949.52781886463</v>
      </c>
      <c r="V23" s="55" t="n">
        <f aca="false">(Inputs!$E$57+Inputs!$E$80)*V21-4*Inputs!$E$58*(1+Inputs!$E$43)^3</f>
        <v>942.157246043129</v>
      </c>
    </row>
    <row r="24" customFormat="false" ht="15" hidden="false" customHeight="false" outlineLevel="0" collapsed="false">
      <c r="A24" s="4" t="s">
        <v>403</v>
      </c>
      <c r="B24" s="13" t="s">
        <v>73</v>
      </c>
      <c r="C24" s="30" t="n">
        <f aca="false">C23/C21</f>
        <v>0.301017223772114</v>
      </c>
      <c r="D24" s="30" t="n">
        <f aca="false">D23/D21</f>
        <v>-0.0075388416819465</v>
      </c>
      <c r="E24" s="30" t="n">
        <f aca="false">E23/E21</f>
        <v>0.291486400895049</v>
      </c>
      <c r="F24" s="30" t="n">
        <f aca="false">F23/F21</f>
        <v>0.286212126874074</v>
      </c>
      <c r="G24" s="30" t="n">
        <f aca="false">G23/G21</f>
        <v>0.263613415409713</v>
      </c>
      <c r="H24" s="30" t="n">
        <f aca="false">H23/H21</f>
        <v>-0.0803465235564815</v>
      </c>
      <c r="I24" s="30" t="n">
        <f aca="false">I23/I21</f>
        <v>0.252957210572342</v>
      </c>
      <c r="J24" s="30" t="n">
        <f aca="false">J23/J21</f>
        <v>0.275406599775419</v>
      </c>
      <c r="K24" s="51" t="n">
        <f aca="false">K23/K21</f>
        <v>0.262136752637817</v>
      </c>
      <c r="L24" s="51" t="n">
        <f aca="false">L23/L21</f>
        <v>0.169243518312532</v>
      </c>
      <c r="M24" s="51" t="n">
        <f aca="false">M23/M21</f>
        <v>0.265403393553471</v>
      </c>
      <c r="N24" s="51" t="n">
        <f aca="false">N23/N21</f>
        <v>0.277019977701661</v>
      </c>
      <c r="O24" s="51" t="n">
        <f aca="false">O23/O21</f>
        <v>0.259525847043813</v>
      </c>
      <c r="P24" s="51" t="n">
        <f aca="false">P23/P21</f>
        <v>0.160983254115594</v>
      </c>
      <c r="R24" s="30" t="n">
        <f aca="false">R23/R21</f>
        <v>0.242179264613331</v>
      </c>
      <c r="S24" s="51" t="n">
        <f aca="false">S23/S21</f>
        <v>0.24657067191214</v>
      </c>
      <c r="T24" s="51" t="n">
        <f aca="false">T23/T21</f>
        <v>0.248694082384974</v>
      </c>
      <c r="U24" s="51" t="n">
        <f aca="false">U23/U21</f>
        <v>0.242234302967594</v>
      </c>
      <c r="V24" s="51" t="n">
        <f aca="false">V23/V21</f>
        <v>0.239049448607922</v>
      </c>
    </row>
    <row r="25" customFormat="false" ht="15" hidden="false" customHeight="false" outlineLevel="0" collapsed="false">
      <c r="A25" s="4" t="s">
        <v>45</v>
      </c>
      <c r="B25" s="13" t="s">
        <v>135</v>
      </c>
      <c r="C25" s="31" t="n">
        <f aca="false">Historicals!C12/1000</f>
        <v>208.676</v>
      </c>
      <c r="D25" s="31" t="n">
        <f aca="false">Historicals!D12/1000</f>
        <v>210.472</v>
      </c>
      <c r="E25" s="31" t="n">
        <f aca="false">Historicals!E12/1000</f>
        <v>198.972</v>
      </c>
      <c r="F25" s="31" t="n">
        <f aca="false">Historicals!F12/1000</f>
        <v>237.389</v>
      </c>
      <c r="G25" s="31" t="n">
        <f aca="false">Historicals!G12/1000</f>
        <v>228.991</v>
      </c>
      <c r="H25" s="31" t="n">
        <f aca="false">Historicals!H12/1000</f>
        <v>229.97</v>
      </c>
      <c r="I25" s="31" t="n">
        <f aca="false">Historicals!I12/1000</f>
        <v>248.064</v>
      </c>
      <c r="J25" s="31" t="n">
        <f aca="false">Historicals!J12/1000</f>
        <v>231.788</v>
      </c>
      <c r="K25" s="55" t="n">
        <f aca="false">G25*(1+Inputs!$E$81)</f>
        <v>231.28091</v>
      </c>
      <c r="L25" s="55" t="n">
        <f aca="false">H25*(1+Inputs!$E$81)</f>
        <v>232.2697</v>
      </c>
      <c r="M25" s="55" t="n">
        <f aca="false">I25*(1+Inputs!$E$81)</f>
        <v>250.54464</v>
      </c>
      <c r="N25" s="55" t="n">
        <f aca="false">J25*(1+Inputs!$E$81)</f>
        <v>234.10588</v>
      </c>
      <c r="O25" s="55" t="n">
        <f aca="false">K25*(1+Inputs!$E$81)</f>
        <v>233.5937191</v>
      </c>
      <c r="P25" s="55" t="n">
        <f aca="false">L25*(1+Inputs!$E$81)</f>
        <v>234.592397</v>
      </c>
      <c r="R25" s="31" t="n">
        <f aca="false">SUM(E25:H25)</f>
        <v>895.322</v>
      </c>
      <c r="S25" s="55" t="n">
        <f aca="false">SUM(I25:L25)</f>
        <v>943.40261</v>
      </c>
      <c r="T25" s="55" t="n">
        <f aca="false">SUM(M25:P25)</f>
        <v>952.8366361</v>
      </c>
      <c r="U25" s="55" t="n">
        <f aca="false">T25*(1+Inputs!$E$81)</f>
        <v>962.365002461</v>
      </c>
      <c r="V25" s="55" t="n">
        <f aca="false">U25*(1+Inputs!$E$81)</f>
        <v>971.98865248561</v>
      </c>
    </row>
    <row r="26" customFormat="false" ht="15" hidden="false" customHeight="false" outlineLevel="0" collapsed="false">
      <c r="A26" s="3" t="s">
        <v>404</v>
      </c>
      <c r="B26" s="13" t="s">
        <v>135</v>
      </c>
      <c r="C26" s="42" t="n">
        <f aca="false">C23-C25</f>
        <v>55.137</v>
      </c>
      <c r="D26" s="42" t="n">
        <f aca="false">D23-D25</f>
        <v>-213.642</v>
      </c>
      <c r="E26" s="42" t="n">
        <f aca="false">E23-E25</f>
        <v>116.272</v>
      </c>
      <c r="F26" s="42" t="n">
        <f aca="false">F23-F25</f>
        <v>61.316</v>
      </c>
      <c r="G26" s="42" t="n">
        <f aca="false">G23-G25</f>
        <v>54.119</v>
      </c>
      <c r="H26" s="42" t="n">
        <f aca="false">H23-H25</f>
        <v>-260.437</v>
      </c>
      <c r="I26" s="42" t="n">
        <f aca="false">I23-I25</f>
        <v>18.925</v>
      </c>
      <c r="J26" s="42" t="n">
        <f aca="false">J23-J25</f>
        <v>72.338</v>
      </c>
      <c r="K26" s="56" t="n">
        <f aca="false">K23-K25</f>
        <v>40.1644706484477</v>
      </c>
      <c r="L26" s="56" t="n">
        <f aca="false">L23-L25</f>
        <v>-112.543863843114</v>
      </c>
      <c r="M26" s="56" t="n">
        <f aca="false">M23-M25</f>
        <v>34.4276750379641</v>
      </c>
      <c r="N26" s="56" t="n">
        <f aca="false">N23-N25</f>
        <v>81.975691209955</v>
      </c>
      <c r="O26" s="56" t="n">
        <f aca="false">O23-O25</f>
        <v>36.9956047738812</v>
      </c>
      <c r="P26" s="56" t="n">
        <f aca="false">P23-P25</f>
        <v>-121.615410606156</v>
      </c>
      <c r="R26" s="42" t="n">
        <f aca="false">R23-R25</f>
        <v>-28.7300000000001</v>
      </c>
      <c r="S26" s="56" t="n">
        <f aca="false">S23-S25</f>
        <v>18.8836068053334</v>
      </c>
      <c r="T26" s="56" t="n">
        <f aca="false">T23-T25</f>
        <v>31.783560415644</v>
      </c>
      <c r="U26" s="56" t="n">
        <f aca="false">U23-U25</f>
        <v>-12.8371835963696</v>
      </c>
      <c r="V26" s="56" t="n">
        <f aca="false">V23-V25</f>
        <v>-29.831406442481</v>
      </c>
    </row>
    <row r="27" customFormat="false" ht="15" hidden="false" customHeight="false" outlineLevel="0" collapsed="false">
      <c r="A27" s="4" t="s">
        <v>405</v>
      </c>
      <c r="B27" s="13" t="s">
        <v>73</v>
      </c>
      <c r="C27" s="30" t="n">
        <f aca="false">C26/C21</f>
        <v>0.0629126944734455</v>
      </c>
      <c r="D27" s="30" t="n">
        <f aca="false">D26/D21</f>
        <v>-0.50807987842726</v>
      </c>
      <c r="E27" s="30" t="n">
        <f aca="false">E26/E21</f>
        <v>0.107509442859719</v>
      </c>
      <c r="F27" s="30" t="n">
        <f aca="false">F26/F21</f>
        <v>0.0587515534437344</v>
      </c>
      <c r="G27" s="30" t="n">
        <f aca="false">G26/G21</f>
        <v>0.0503920540728277</v>
      </c>
      <c r="H27" s="30" t="n">
        <f aca="false">H26/H21</f>
        <v>-0.686815490710584</v>
      </c>
      <c r="I27" s="30" t="n">
        <f aca="false">I26/I21</f>
        <v>0.0179303836865248</v>
      </c>
      <c r="J27" s="30" t="n">
        <f aca="false">J26/J21</f>
        <v>0.0655069366465027</v>
      </c>
      <c r="K27" s="51" t="n">
        <f aca="false">K26/K21</f>
        <v>0.0387871176221513</v>
      </c>
      <c r="L27" s="51" t="n">
        <f aca="false">L26/L21</f>
        <v>-0.159091137658341</v>
      </c>
      <c r="M27" s="51" t="n">
        <f aca="false">M26/M21</f>
        <v>0.0320635419830679</v>
      </c>
      <c r="N27" s="51" t="n">
        <f aca="false">N26/N21</f>
        <v>0.0718450748777623</v>
      </c>
      <c r="O27" s="51" t="n">
        <f aca="false">O26/O21</f>
        <v>0.0354829803644238</v>
      </c>
      <c r="P27" s="51" t="n">
        <f aca="false">P26/P21</f>
        <v>-0.173292324170634</v>
      </c>
      <c r="R27" s="30" t="n">
        <f aca="false">R26/R21</f>
        <v>-0.00802893434550635</v>
      </c>
      <c r="S27" s="51" t="n">
        <f aca="false">S26/S21</f>
        <v>0.00483862653002921</v>
      </c>
      <c r="T27" s="51" t="n">
        <f aca="false">T26/T21</f>
        <v>0.00802785015020802</v>
      </c>
      <c r="U27" s="51" t="n">
        <f aca="false">U26/U21</f>
        <v>-0.00327489743718288</v>
      </c>
      <c r="V27" s="51" t="n">
        <f aca="false">V26/V21</f>
        <v>-0.00756899264026618</v>
      </c>
    </row>
    <row r="28" customFormat="false" ht="15" hidden="false" customHeight="false" outlineLevel="0" collapsed="false">
      <c r="A28" s="4" t="s">
        <v>46</v>
      </c>
      <c r="B28" s="13" t="s">
        <v>135</v>
      </c>
      <c r="C28" s="31" t="n">
        <f aca="false">Historicals!C13/1000</f>
        <v>4.808</v>
      </c>
      <c r="D28" s="31" t="n">
        <f aca="false">Historicals!D13/1000</f>
        <v>10.4</v>
      </c>
      <c r="E28" s="31" t="n">
        <f aca="false">Historicals!E13/1000</f>
        <v>2.743</v>
      </c>
      <c r="F28" s="31" t="n">
        <f aca="false">Historicals!F13/1000</f>
        <v>6.011</v>
      </c>
      <c r="G28" s="31" t="n">
        <f aca="false">Historicals!G13/1000</f>
        <v>5.563</v>
      </c>
      <c r="H28" s="31" t="n">
        <f aca="false">Historicals!H13/1000</f>
        <v>11.354</v>
      </c>
      <c r="I28" s="31" t="n">
        <f aca="false">Historicals!I13/1000</f>
        <v>5.116</v>
      </c>
      <c r="J28" s="31" t="n">
        <f aca="false">Historicals!J13/1000</f>
        <v>9.114</v>
      </c>
      <c r="K28" s="55" t="n">
        <f aca="false">G28*(1+Inputs!$E$86)</f>
        <v>6.6756</v>
      </c>
      <c r="L28" s="55" t="n">
        <f aca="false">H28*(1+Inputs!$E$86)</f>
        <v>13.6248</v>
      </c>
      <c r="M28" s="55" t="n">
        <f aca="false">I28*(1+Inputs!$E$86)</f>
        <v>6.1392</v>
      </c>
      <c r="N28" s="55" t="n">
        <f aca="false">J28*(1+Inputs!$E$86)</f>
        <v>10.9368</v>
      </c>
      <c r="O28" s="55" t="n">
        <f aca="false">K28*(1+Inputs!$E$86)</f>
        <v>8.01072</v>
      </c>
      <c r="P28" s="55" t="n">
        <f aca="false">L28*(1+Inputs!$E$86)</f>
        <v>16.34976</v>
      </c>
      <c r="R28" s="31" t="n">
        <f aca="false">SUM(E28:H28)</f>
        <v>25.671</v>
      </c>
      <c r="S28" s="55" t="n">
        <f aca="false">SUM(I28:L28)</f>
        <v>34.5304</v>
      </c>
      <c r="T28" s="55" t="n">
        <f aca="false">SUM(M28:P28)</f>
        <v>41.43648</v>
      </c>
      <c r="U28" s="55" t="n">
        <f aca="false">T28*(1+Inputs!$E$86)</f>
        <v>49.723776</v>
      </c>
      <c r="V28" s="55" t="n">
        <f aca="false">U28*(1+Inputs!$E$86)</f>
        <v>59.6685312</v>
      </c>
    </row>
    <row r="29" customFormat="false" ht="15" hidden="false" customHeight="false" outlineLevel="0" collapsed="false">
      <c r="A29" s="4" t="s">
        <v>406</v>
      </c>
      <c r="B29" s="13" t="s">
        <v>135</v>
      </c>
      <c r="C29" s="31" t="n">
        <f aca="false">(Historicals!C14-Historicals!C15)/1000</f>
        <v>-26.085</v>
      </c>
      <c r="D29" s="31" t="n">
        <f aca="false">(Historicals!D14-Historicals!D15)/1000</f>
        <v>-26.146</v>
      </c>
      <c r="E29" s="31" t="n">
        <f aca="false">(Historicals!E14-Historicals!E15)/1000</f>
        <v>-19.809</v>
      </c>
      <c r="F29" s="31" t="n">
        <f aca="false">(Historicals!F14-Historicals!F15)/1000</f>
        <v>-18.653</v>
      </c>
      <c r="G29" s="31" t="n">
        <f aca="false">(Historicals!G14-Historicals!G15)/1000</f>
        <v>-18.181</v>
      </c>
      <c r="H29" s="31" t="n">
        <f aca="false">(Historicals!H14-Historicals!H15)/1000</f>
        <v>-18.374</v>
      </c>
      <c r="I29" s="31" t="n">
        <f aca="false">(Historicals!I14-Historicals!I15)/1000</f>
        <v>-17.671</v>
      </c>
      <c r="J29" s="31" t="n">
        <f aca="false">(Historicals!J14-Historicals!J15)/1000</f>
        <v>-17.927</v>
      </c>
      <c r="K29" s="55" t="n">
        <f aca="false">(Inputs!$E$82-I29-J29)/2</f>
        <v>-19.701</v>
      </c>
      <c r="L29" s="55" t="n">
        <f aca="false">(Inputs!$E$82-I29-J29)/2</f>
        <v>-19.701</v>
      </c>
      <c r="M29" s="55" t="n">
        <f aca="false">Inputs!$E$83/4</f>
        <v>-16.25</v>
      </c>
      <c r="N29" s="55" t="n">
        <f aca="false">Inputs!$E$83/4</f>
        <v>-16.25</v>
      </c>
      <c r="O29" s="55" t="n">
        <f aca="false">Inputs!$E$83/4</f>
        <v>-16.25</v>
      </c>
      <c r="P29" s="55" t="n">
        <f aca="false">Inputs!$E$83/4</f>
        <v>-16.25</v>
      </c>
      <c r="R29" s="31" t="n">
        <f aca="false">SUM(E29:H29)</f>
        <v>-75.017</v>
      </c>
      <c r="S29" s="55" t="n">
        <f aca="false">SUM(I29:L29)</f>
        <v>-75</v>
      </c>
      <c r="T29" s="55" t="n">
        <f aca="false">SUM(M29:P29)</f>
        <v>-65</v>
      </c>
      <c r="U29" s="55" t="n">
        <f aca="false">Inputs!$E$84</f>
        <v>-55</v>
      </c>
      <c r="V29" s="55" t="n">
        <f aca="false">Inputs!$E$85</f>
        <v>-45</v>
      </c>
    </row>
    <row r="30" customFormat="false" ht="15" hidden="false" customHeight="false" outlineLevel="0" collapsed="false">
      <c r="A30" s="4" t="s">
        <v>49</v>
      </c>
      <c r="B30" s="13" t="s">
        <v>135</v>
      </c>
      <c r="C30" s="31" t="n">
        <f aca="false">Historicals!C16/1000</f>
        <v>269.482</v>
      </c>
      <c r="D30" s="31" t="n">
        <f aca="false">Historicals!D16/1000</f>
        <v>256.72</v>
      </c>
      <c r="E30" s="31" t="n">
        <f aca="false">Historicals!E16/1000</f>
        <v>244.961</v>
      </c>
      <c r="F30" s="31" t="n">
        <f aca="false">Historicals!F16/1000</f>
        <v>257.438</v>
      </c>
      <c r="G30" s="31" t="n">
        <f aca="false">Historicals!G16/1000</f>
        <v>261.188</v>
      </c>
      <c r="H30" s="31" t="n">
        <f aca="false">Historicals!H16/1000</f>
        <v>105.609</v>
      </c>
      <c r="I30" s="31" t="n">
        <f aca="false">Historicals!I16/1000</f>
        <v>111.944</v>
      </c>
      <c r="J30" s="31" t="n">
        <f aca="false">Historicals!J16/1000</f>
        <v>117.043</v>
      </c>
      <c r="K30" s="55" t="n">
        <f aca="false">AVERAGE($I30:$J30)*(1+Inputs!$E$91)^0.5</f>
        <v>116.198211640789</v>
      </c>
      <c r="L30" s="55" t="n">
        <f aca="false">AVERAGE($I30:$J30)*(1+Inputs!$E$91)^0.5</f>
        <v>116.198211640789</v>
      </c>
      <c r="M30" s="55" t="n">
        <f aca="false">AVERAGE($I30:$J30)*(1+Inputs!$E$91)^1.5</f>
        <v>119.684157990012</v>
      </c>
      <c r="N30" s="55" t="n">
        <f aca="false">AVERAGE($I30:$J30)*(1+Inputs!$E$91)^1.5</f>
        <v>119.684157990012</v>
      </c>
      <c r="O30" s="55" t="n">
        <f aca="false">AVERAGE($I30:$J30)*(1+Inputs!$E$91)^1.5</f>
        <v>119.684157990012</v>
      </c>
      <c r="P30" s="55" t="n">
        <f aca="false">AVERAGE($I30:$J30)*(1+Inputs!$E$91)^1.5</f>
        <v>119.684157990012</v>
      </c>
      <c r="R30" s="31" t="n">
        <f aca="false">SUM(E30:H30)</f>
        <v>869.196</v>
      </c>
      <c r="S30" s="55" t="n">
        <f aca="false">SUM(I30:L30)</f>
        <v>461.383423281577</v>
      </c>
      <c r="T30" s="55" t="n">
        <f aca="false">SUM(M30:P30)</f>
        <v>478.736631960049</v>
      </c>
      <c r="U30" s="55" t="n">
        <f aca="false">T30*(1+Inputs!$E$91)</f>
        <v>493.098730918851</v>
      </c>
      <c r="V30" s="55" t="n">
        <f aca="false">U30*(1+Inputs!$E$91)</f>
        <v>507.891692846416</v>
      </c>
    </row>
    <row r="31" customFormat="false" ht="15" hidden="false" customHeight="false" outlineLevel="0" collapsed="false">
      <c r="A31" s="4" t="s">
        <v>50</v>
      </c>
      <c r="B31" s="13" t="s">
        <v>135</v>
      </c>
      <c r="C31" s="31" t="n">
        <f aca="false">Historicals!C17/1000</f>
        <v>76.744</v>
      </c>
      <c r="D31" s="31" t="n">
        <f aca="false">Historicals!D17/1000</f>
        <v>46.44</v>
      </c>
      <c r="E31" s="31" t="n">
        <f aca="false">Historicals!E17/1000</f>
        <v>64.036</v>
      </c>
      <c r="F31" s="31" t="n">
        <f aca="false">Historicals!F17/1000</f>
        <v>69.773</v>
      </c>
      <c r="G31" s="31" t="n">
        <f aca="false">Historicals!G17/1000</f>
        <v>438.82</v>
      </c>
      <c r="H31" s="31" t="n">
        <f aca="false">Historicals!H17/1000</f>
        <v>-82.247</v>
      </c>
      <c r="I31" s="31" t="n">
        <f aca="false">Historicals!I17/1000</f>
        <v>22.24</v>
      </c>
      <c r="J31" s="31" t="n">
        <f aca="false">Historicals!J17/1000</f>
        <v>21.599</v>
      </c>
      <c r="K31" s="55" t="n">
        <f aca="false">(Inputs!$E$87-I31-J31)/2</f>
        <v>8.0805</v>
      </c>
      <c r="L31" s="55" t="n">
        <f aca="false">(Inputs!$E$87-I31-J31)/2</f>
        <v>8.0805</v>
      </c>
      <c r="M31" s="55" t="n">
        <f aca="false">Inputs!$E$88/4</f>
        <v>16.25</v>
      </c>
      <c r="N31" s="55" t="n">
        <f aca="false">Inputs!$E$88/4</f>
        <v>16.25</v>
      </c>
      <c r="O31" s="55" t="n">
        <f aca="false">Inputs!$E$88/4</f>
        <v>16.25</v>
      </c>
      <c r="P31" s="55" t="n">
        <f aca="false">Inputs!$E$88/4</f>
        <v>16.25</v>
      </c>
      <c r="R31" s="31" t="n">
        <f aca="false">SUM(E31:H31)</f>
        <v>490.382</v>
      </c>
      <c r="S31" s="55" t="n">
        <f aca="false">SUM(I31:L31)</f>
        <v>60</v>
      </c>
      <c r="T31" s="55" t="n">
        <f aca="false">SUM(M31:P31)</f>
        <v>65</v>
      </c>
      <c r="U31" s="55" t="n">
        <f aca="false">Inputs!$E$89</f>
        <v>70</v>
      </c>
      <c r="V31" s="55" t="n">
        <f aca="false">Inputs!$E$90</f>
        <v>72</v>
      </c>
    </row>
    <row r="32" customFormat="false" ht="15" hidden="false" customHeight="false" outlineLevel="0" collapsed="false">
      <c r="A32" s="3" t="s">
        <v>407</v>
      </c>
      <c r="B32" s="13" t="s">
        <v>135</v>
      </c>
      <c r="C32" s="42" t="n">
        <f aca="false">C21+C28+C30</f>
        <v>1150.695</v>
      </c>
      <c r="D32" s="42" t="n">
        <f aca="false">D21+D28+D30</f>
        <v>687.609</v>
      </c>
      <c r="E32" s="42" t="n">
        <f aca="false">E21+E28+E30</f>
        <v>1329.209</v>
      </c>
      <c r="F32" s="42" t="n">
        <f aca="false">F21+F28+F30</f>
        <v>1307.098</v>
      </c>
      <c r="G32" s="42" t="n">
        <f aca="false">G21+G28+G30</f>
        <v>1340.71</v>
      </c>
      <c r="H32" s="42" t="n">
        <f aca="false">H21+H28+H30</f>
        <v>496.158</v>
      </c>
      <c r="I32" s="42" t="n">
        <f aca="false">I21+I28+I30</f>
        <v>1172.531</v>
      </c>
      <c r="J32" s="42" t="n">
        <f aca="false">J21+J28+J30</f>
        <v>1230.437</v>
      </c>
      <c r="K32" s="56" t="n">
        <f aca="false">K21+K28+K30</f>
        <v>1158.38439120264</v>
      </c>
      <c r="L32" s="56" t="n">
        <f aca="false">L21+L28+L30</f>
        <v>837.240568015357</v>
      </c>
      <c r="M32" s="56" t="n">
        <f aca="false">M21+M28+M30</f>
        <v>1199.55610579887</v>
      </c>
      <c r="N32" s="56" t="n">
        <f aca="false">N21+N28+N30</f>
        <v>1271.6273714349</v>
      </c>
      <c r="O32" s="56" t="n">
        <f aca="false">O21+O28+O30</f>
        <v>1170.32445402681</v>
      </c>
      <c r="P32" s="56" t="n">
        <f aca="false">P21+P28+P30</f>
        <v>837.827325102533</v>
      </c>
      <c r="R32" s="42" t="n">
        <f aca="false">R21+R28+R30</f>
        <v>4473.175</v>
      </c>
      <c r="S32" s="56" t="n">
        <f aca="false">S21+S28+S30</f>
        <v>4398.592959218</v>
      </c>
      <c r="T32" s="56" t="n">
        <f aca="false">T21+T28+T30</f>
        <v>4479.33525636311</v>
      </c>
      <c r="U32" s="56" t="n">
        <f aca="false">U21+U28+U30</f>
        <v>4462.69598161685</v>
      </c>
      <c r="V32" s="56" t="n">
        <f aca="false">V21+V28+V30</f>
        <v>4508.82531179156</v>
      </c>
    </row>
    <row r="33" customFormat="false" ht="15" hidden="false" customHeight="false" outlineLevel="0" collapsed="false">
      <c r="A33" s="3" t="s">
        <v>408</v>
      </c>
      <c r="B33" s="13" t="s">
        <v>135</v>
      </c>
      <c r="C33" s="42" t="n">
        <f aca="false">C26+C29+C31</f>
        <v>105.796</v>
      </c>
      <c r="D33" s="42" t="n">
        <f aca="false">D26+D29+D31</f>
        <v>-193.348</v>
      </c>
      <c r="E33" s="42" t="n">
        <f aca="false">E26+E29+E31</f>
        <v>160.499</v>
      </c>
      <c r="F33" s="42" t="n">
        <f aca="false">F26+F29+F31</f>
        <v>112.436</v>
      </c>
      <c r="G33" s="42" t="n">
        <f aca="false">G26+G29+G31</f>
        <v>474.758</v>
      </c>
      <c r="H33" s="42" t="n">
        <f aca="false">H26+H29+H31</f>
        <v>-361.058</v>
      </c>
      <c r="I33" s="42" t="n">
        <f aca="false">I26+I29+I31</f>
        <v>23.494</v>
      </c>
      <c r="J33" s="42" t="n">
        <f aca="false">J26+J29+J31</f>
        <v>76.01</v>
      </c>
      <c r="K33" s="56" t="n">
        <f aca="false">K26+K29+K31</f>
        <v>28.5439706484477</v>
      </c>
      <c r="L33" s="56" t="n">
        <f aca="false">L26+L29+L31</f>
        <v>-124.164363843114</v>
      </c>
      <c r="M33" s="56" t="n">
        <f aca="false">M26+M29+M31</f>
        <v>34.4276750379641</v>
      </c>
      <c r="N33" s="56" t="n">
        <f aca="false">N26+N29+N31</f>
        <v>81.975691209955</v>
      </c>
      <c r="O33" s="56" t="n">
        <f aca="false">O26+O29+O31</f>
        <v>36.9956047738812</v>
      </c>
      <c r="P33" s="56" t="n">
        <f aca="false">P26+P29+P31</f>
        <v>-121.615410606156</v>
      </c>
      <c r="R33" s="42" t="n">
        <f aca="false">R26+R29+R31</f>
        <v>386.635</v>
      </c>
      <c r="S33" s="56" t="n">
        <f aca="false">S26+S29+S31</f>
        <v>3.88360680533344</v>
      </c>
      <c r="T33" s="56" t="n">
        <f aca="false">T26+T29+T31</f>
        <v>31.783560415644</v>
      </c>
      <c r="U33" s="56" t="n">
        <f aca="false">U26+U29+U31</f>
        <v>2.16281640363036</v>
      </c>
      <c r="V33" s="56" t="n">
        <f aca="false">V26+V29+V31</f>
        <v>-2.83140644248101</v>
      </c>
    </row>
    <row r="34" customFormat="false" ht="15" hidden="false" customHeight="false" outlineLevel="0" collapsed="false">
      <c r="A34" s="4" t="s">
        <v>51</v>
      </c>
      <c r="B34" s="13" t="s">
        <v>135</v>
      </c>
      <c r="C34" s="31" t="n">
        <f aca="false">Historicals!C18/1000</f>
        <v>18.408</v>
      </c>
      <c r="D34" s="31" t="n">
        <f aca="false">Historicals!D18/1000</f>
        <v>17.445</v>
      </c>
      <c r="E34" s="31" t="n">
        <f aca="false">Historicals!E18/1000</f>
        <v>16.273</v>
      </c>
      <c r="F34" s="31" t="n">
        <f aca="false">Historicals!F18/1000</f>
        <v>14.477</v>
      </c>
      <c r="G34" s="31" t="n">
        <f aca="false">Historicals!G18/1000</f>
        <v>14.706</v>
      </c>
      <c r="H34" s="31" t="n">
        <f aca="false">Historicals!H18/1000</f>
        <v>15.814</v>
      </c>
      <c r="I34" s="31" t="n">
        <f aca="false">Historicals!I18/1000</f>
        <v>13.477</v>
      </c>
      <c r="J34" s="31" t="n">
        <f aca="false">Historicals!J18/1000</f>
        <v>11.047</v>
      </c>
      <c r="K34" s="55" t="n">
        <f aca="false">Inputs!$E$30</f>
        <v>12</v>
      </c>
      <c r="L34" s="55" t="n">
        <f aca="false">Inputs!$E$30</f>
        <v>12</v>
      </c>
      <c r="M34" s="55" t="n">
        <f aca="false">Inputs!$E$30</f>
        <v>12</v>
      </c>
      <c r="N34" s="55" t="n">
        <f aca="false">Inputs!$E$30</f>
        <v>12</v>
      </c>
      <c r="O34" s="55" t="n">
        <f aca="false">Inputs!$E$30</f>
        <v>12</v>
      </c>
      <c r="P34" s="55" t="n">
        <f aca="false">Inputs!$E$30</f>
        <v>12</v>
      </c>
      <c r="R34" s="31" t="n">
        <f aca="false">SUM(E34:H34)</f>
        <v>61.27</v>
      </c>
      <c r="S34" s="55" t="n">
        <f aca="false">SUM(I34:L34)</f>
        <v>48.524</v>
      </c>
      <c r="T34" s="55" t="n">
        <f aca="false">SUM(M34:P34)</f>
        <v>48</v>
      </c>
      <c r="U34" s="55" t="n">
        <f aca="false">4*Inputs!$E$30</f>
        <v>48</v>
      </c>
      <c r="V34" s="55" t="n">
        <f aca="false">4*Inputs!$E$30</f>
        <v>48</v>
      </c>
    </row>
    <row r="35" customFormat="false" ht="15" hidden="false" customHeight="false" outlineLevel="0" collapsed="false">
      <c r="A35" s="4" t="s">
        <v>52</v>
      </c>
      <c r="B35" s="13" t="s">
        <v>135</v>
      </c>
      <c r="C35" s="31" t="n">
        <f aca="false">Historicals!C19/1000</f>
        <v>16.45</v>
      </c>
      <c r="D35" s="31" t="n">
        <f aca="false">Historicals!D19/1000</f>
        <v>13.3</v>
      </c>
      <c r="E35" s="31" t="n">
        <f aca="false">Historicals!E19/1000</f>
        <v>8.941</v>
      </c>
      <c r="F35" s="31" t="n">
        <f aca="false">Historicals!F19/1000</f>
        <v>10.95</v>
      </c>
      <c r="G35" s="31" t="n">
        <f aca="false">Historicals!G19/1000</f>
        <v>12.267</v>
      </c>
      <c r="H35" s="31" t="n">
        <f aca="false">Historicals!H19/1000</f>
        <v>12.112</v>
      </c>
      <c r="I35" s="31" t="n">
        <f aca="false">Historicals!I19/1000</f>
        <v>8.696</v>
      </c>
      <c r="J35" s="31" t="n">
        <f aca="false">Historicals!J19/1000</f>
        <v>11.84</v>
      </c>
      <c r="K35" s="55" t="n">
        <f aca="false">Inputs!$E$31</f>
        <v>9</v>
      </c>
      <c r="L35" s="55" t="n">
        <f aca="false">Inputs!$E$31</f>
        <v>9</v>
      </c>
      <c r="M35" s="55" t="n">
        <f aca="false">Inputs!$E$31</f>
        <v>9</v>
      </c>
      <c r="N35" s="55" t="n">
        <f aca="false">Inputs!$E$31</f>
        <v>9</v>
      </c>
      <c r="O35" s="55" t="n">
        <f aca="false">Inputs!$E$31</f>
        <v>9</v>
      </c>
      <c r="P35" s="55" t="n">
        <f aca="false">Inputs!$E$31</f>
        <v>9</v>
      </c>
      <c r="R35" s="31" t="n">
        <f aca="false">SUM(E35:H35)</f>
        <v>44.27</v>
      </c>
      <c r="S35" s="55" t="n">
        <f aca="false">SUM(I35:L35)</f>
        <v>38.536</v>
      </c>
      <c r="T35" s="55" t="n">
        <f aca="false">SUM(M35:P35)</f>
        <v>36</v>
      </c>
      <c r="U35" s="55" t="n">
        <f aca="false">4*Inputs!$E$31</f>
        <v>36</v>
      </c>
      <c r="V35" s="55" t="n">
        <f aca="false">4*Inputs!$E$31</f>
        <v>36</v>
      </c>
    </row>
    <row r="36" customFormat="false" ht="15" hidden="false" customHeight="false" outlineLevel="0" collapsed="false">
      <c r="A36" s="4" t="s">
        <v>53</v>
      </c>
      <c r="B36" s="13" t="s">
        <v>135</v>
      </c>
      <c r="C36" s="31" t="n">
        <f aca="false">-Historicals!C20/1000</f>
        <v>-7.707</v>
      </c>
      <c r="D36" s="31" t="n">
        <f aca="false">-Historicals!D20/1000</f>
        <v>-7.683</v>
      </c>
      <c r="E36" s="31" t="n">
        <f aca="false">-Historicals!E20/1000</f>
        <v>-7.686</v>
      </c>
      <c r="F36" s="31" t="n">
        <f aca="false">-Historicals!F20/1000</f>
        <v>-7.696</v>
      </c>
      <c r="G36" s="31" t="n">
        <f aca="false">-Historicals!G20/1000</f>
        <v>-10.182</v>
      </c>
      <c r="H36" s="31" t="n">
        <f aca="false">-Historicals!H20/1000</f>
        <v>-7.88</v>
      </c>
      <c r="I36" s="31" t="n">
        <f aca="false">-Historicals!I20/1000</f>
        <v>-3.57</v>
      </c>
      <c r="J36" s="31" t="n">
        <f aca="false">-Historicals!J20/1000</f>
        <v>-3.622</v>
      </c>
      <c r="K36" s="55" t="n">
        <f aca="false">-Inputs!$E$32</f>
        <v>-3.6</v>
      </c>
      <c r="L36" s="55" t="n">
        <f aca="false">-Inputs!$E$32</f>
        <v>-3.6</v>
      </c>
      <c r="M36" s="55" t="n">
        <f aca="false">-Inputs!$E$32</f>
        <v>-3.6</v>
      </c>
      <c r="N36" s="55" t="n">
        <f aca="false">-Inputs!$E$32</f>
        <v>-3.6</v>
      </c>
      <c r="O36" s="55" t="n">
        <f aca="false">-Inputs!$E$32</f>
        <v>-3.6</v>
      </c>
      <c r="P36" s="55" t="n">
        <f aca="false">-Inputs!$E$32</f>
        <v>-3.6</v>
      </c>
      <c r="R36" s="31" t="n">
        <f aca="false">SUM(E36:H36)</f>
        <v>-33.444</v>
      </c>
      <c r="S36" s="55" t="n">
        <f aca="false">SUM(I36:L36)</f>
        <v>-14.392</v>
      </c>
      <c r="T36" s="55" t="n">
        <f aca="false">SUM(M36:P36)</f>
        <v>-14.4</v>
      </c>
      <c r="U36" s="55" t="n">
        <f aca="false">-4*Inputs!$E$32</f>
        <v>-14.4</v>
      </c>
      <c r="V36" s="55" t="n">
        <f aca="false">-4*Inputs!$E$32</f>
        <v>-14.4</v>
      </c>
    </row>
    <row r="37" customFormat="false" ht="15" hidden="false" customHeight="false" outlineLevel="0" collapsed="false">
      <c r="A37" s="3" t="s">
        <v>409</v>
      </c>
      <c r="B37" s="13" t="s">
        <v>135</v>
      </c>
      <c r="C37" s="42" t="n">
        <f aca="false">C33+C34+C35+C36</f>
        <v>132.947</v>
      </c>
      <c r="D37" s="42" t="n">
        <f aca="false">D33+D34+D35+D36</f>
        <v>-170.286</v>
      </c>
      <c r="E37" s="42" t="n">
        <f aca="false">E33+E34+E35+E36</f>
        <v>178.027</v>
      </c>
      <c r="F37" s="42" t="n">
        <f aca="false">F33+F34+F35+F36</f>
        <v>130.167</v>
      </c>
      <c r="G37" s="42" t="n">
        <f aca="false">G33+G34+G35+G36</f>
        <v>491.549</v>
      </c>
      <c r="H37" s="42" t="n">
        <f aca="false">H33+H34+H35+H36</f>
        <v>-341.012</v>
      </c>
      <c r="I37" s="42" t="n">
        <f aca="false">I33+I34+I35+I36</f>
        <v>42.097</v>
      </c>
      <c r="J37" s="42" t="n">
        <f aca="false">J33+J34+J35+J36</f>
        <v>95.275</v>
      </c>
      <c r="K37" s="56" t="n">
        <f aca="false">K33+K34+K35+K36</f>
        <v>45.9439706484477</v>
      </c>
      <c r="L37" s="56" t="n">
        <f aca="false">L33+L34+L35+L36</f>
        <v>-106.764363843114</v>
      </c>
      <c r="M37" s="56" t="n">
        <f aca="false">M33+M34+M35+M36</f>
        <v>51.8276750379641</v>
      </c>
      <c r="N37" s="56" t="n">
        <f aca="false">N33+N34+N35+N36</f>
        <v>99.375691209955</v>
      </c>
      <c r="O37" s="56" t="n">
        <f aca="false">O33+O34+O35+O36</f>
        <v>54.3956047738812</v>
      </c>
      <c r="P37" s="56" t="n">
        <f aca="false">P33+P34+P35+P36</f>
        <v>-104.215410606156</v>
      </c>
      <c r="R37" s="42" t="n">
        <f aca="false">R33+R34+R35+R36</f>
        <v>458.731</v>
      </c>
      <c r="S37" s="56" t="n">
        <f aca="false">S33+S34+S35+S36</f>
        <v>76.5516068053335</v>
      </c>
      <c r="T37" s="56" t="n">
        <f aca="false">T33+T34+T35+T36</f>
        <v>101.383560415644</v>
      </c>
      <c r="U37" s="56" t="n">
        <f aca="false">U33+U34+U35+U36</f>
        <v>71.7628164036304</v>
      </c>
      <c r="V37" s="56" t="n">
        <f aca="false">V33+V34+V35+V36</f>
        <v>66.768593557519</v>
      </c>
    </row>
    <row r="38" customFormat="false" ht="15" hidden="false" customHeight="false" outlineLevel="0" collapsed="false">
      <c r="A38" s="4" t="s">
        <v>410</v>
      </c>
      <c r="B38" s="13" t="s">
        <v>135</v>
      </c>
      <c r="C38" s="31" t="n">
        <f aca="false">-Historicals!C21/1000</f>
        <v>-16.98</v>
      </c>
      <c r="D38" s="31" t="n">
        <f aca="false">-Historicals!D21/1000</f>
        <v>51.857</v>
      </c>
      <c r="E38" s="31" t="n">
        <f aca="false">-Historicals!E21/1000</f>
        <v>-47.23</v>
      </c>
      <c r="F38" s="31" t="n">
        <f aca="false">-Historicals!F21/1000</f>
        <v>-24.422</v>
      </c>
      <c r="G38" s="31" t="n">
        <f aca="false">-Historicals!G21/1000</f>
        <v>-116.384</v>
      </c>
      <c r="H38" s="31" t="n">
        <f aca="false">-Historicals!H21/1000</f>
        <v>58.459</v>
      </c>
      <c r="I38" s="31" t="n">
        <f aca="false">-Historicals!I21/1000</f>
        <v>-17.974</v>
      </c>
      <c r="J38" s="31" t="n">
        <f aca="false">-Historicals!J21/1000</f>
        <v>-16.294</v>
      </c>
      <c r="K38" s="55" t="n">
        <f aca="false">-K37*Inputs!$E$29</f>
        <v>-10.567113249143</v>
      </c>
      <c r="L38" s="55" t="n">
        <f aca="false">-L37*Inputs!$E$29</f>
        <v>24.5558036839162</v>
      </c>
      <c r="M38" s="55" t="n">
        <f aca="false">-M37*Inputs!$E$29</f>
        <v>-11.9203652587317</v>
      </c>
      <c r="N38" s="55" t="n">
        <f aca="false">-N37*Inputs!$E$29</f>
        <v>-22.8564089782897</v>
      </c>
      <c r="O38" s="55" t="n">
        <f aca="false">-O37*Inputs!$E$29</f>
        <v>-12.5109890979927</v>
      </c>
      <c r="P38" s="55" t="n">
        <f aca="false">-P37*Inputs!$E$29</f>
        <v>23.969544439416</v>
      </c>
      <c r="R38" s="31" t="n">
        <f aca="false">SUM(E38:H38)</f>
        <v>-129.577</v>
      </c>
      <c r="S38" s="55" t="n">
        <f aca="false">SUM(I38:L38)</f>
        <v>-20.2793095652267</v>
      </c>
      <c r="T38" s="55" t="n">
        <f aca="false">SUM(M38:P38)</f>
        <v>-23.3182188955981</v>
      </c>
      <c r="U38" s="55" t="n">
        <f aca="false">-U37*Inputs!$E$29</f>
        <v>-16.505447772835</v>
      </c>
      <c r="V38" s="55" t="n">
        <f aca="false">-V37*Inputs!$E$29</f>
        <v>-15.3567765182294</v>
      </c>
    </row>
    <row r="39" customFormat="false" ht="15" hidden="false" customHeight="false" outlineLevel="0" collapsed="false">
      <c r="A39" s="4" t="s">
        <v>411</v>
      </c>
      <c r="B39" s="13" t="s">
        <v>135</v>
      </c>
      <c r="C39" s="31" t="n">
        <f aca="false">C37+C38</f>
        <v>115.967</v>
      </c>
      <c r="D39" s="31" t="n">
        <f aca="false">D37+D38</f>
        <v>-118.429</v>
      </c>
      <c r="E39" s="31" t="n">
        <f aca="false">E37+E38</f>
        <v>130.797</v>
      </c>
      <c r="F39" s="31" t="n">
        <f aca="false">F37+F38</f>
        <v>105.745</v>
      </c>
      <c r="G39" s="31" t="n">
        <f aca="false">G37+G38</f>
        <v>375.165</v>
      </c>
      <c r="H39" s="31" t="n">
        <f aca="false">H37+H38</f>
        <v>-282.553</v>
      </c>
      <c r="I39" s="31" t="n">
        <f aca="false">I37+I38</f>
        <v>24.123</v>
      </c>
      <c r="J39" s="31" t="n">
        <f aca="false">J37+J38</f>
        <v>78.981</v>
      </c>
      <c r="K39" s="55" t="n">
        <f aca="false">K37+K38</f>
        <v>35.3768573993047</v>
      </c>
      <c r="L39" s="55" t="n">
        <f aca="false">L37+L38</f>
        <v>-82.2085601591978</v>
      </c>
      <c r="M39" s="55" t="n">
        <f aca="false">M37+M38</f>
        <v>39.9073097792324</v>
      </c>
      <c r="N39" s="55" t="n">
        <f aca="false">N37+N38</f>
        <v>76.5192822316654</v>
      </c>
      <c r="O39" s="55" t="n">
        <f aca="false">O37+O38</f>
        <v>41.8846156758885</v>
      </c>
      <c r="P39" s="55" t="n">
        <f aca="false">P37+P38</f>
        <v>-80.2458661667405</v>
      </c>
      <c r="R39" s="31" t="n">
        <f aca="false">R37+R38</f>
        <v>329.154</v>
      </c>
      <c r="S39" s="55" t="n">
        <f aca="false">S37+S38</f>
        <v>56.2722972401067</v>
      </c>
      <c r="T39" s="55" t="n">
        <f aca="false">T37+T38</f>
        <v>78.065341520046</v>
      </c>
      <c r="U39" s="55" t="n">
        <f aca="false">U37+U38</f>
        <v>55.2573686307954</v>
      </c>
      <c r="V39" s="55" t="n">
        <f aca="false">V37+V38</f>
        <v>51.4118170392896</v>
      </c>
    </row>
    <row r="40" customFormat="false" ht="15" hidden="false" customHeight="false" outlineLevel="0" collapsed="false">
      <c r="A40" s="4" t="s">
        <v>412</v>
      </c>
      <c r="B40" s="13" t="s">
        <v>135</v>
      </c>
      <c r="C40" s="31" t="n">
        <f aca="false">Historicals!C22/1000</f>
        <v>3.073</v>
      </c>
      <c r="D40" s="31" t="n">
        <f aca="false">Historicals!D22/1000</f>
        <v>1.538</v>
      </c>
      <c r="E40" s="31" t="n">
        <f aca="false">Historicals!E22/1000</f>
        <v>2.307</v>
      </c>
      <c r="F40" s="31" t="n">
        <f aca="false">Historicals!F22/1000</f>
        <v>1.824</v>
      </c>
      <c r="G40" s="31" t="n">
        <f aca="false">Historicals!G22/1000</f>
        <v>2.201</v>
      </c>
      <c r="H40" s="31" t="n">
        <f aca="false">Historicals!H22/1000</f>
        <v>3.252</v>
      </c>
      <c r="I40" s="31" t="n">
        <f aca="false">Historicals!I22/1000</f>
        <v>0.65</v>
      </c>
      <c r="J40" s="31" t="n">
        <f aca="false">Historicals!J22/1000</f>
        <v>0.824</v>
      </c>
      <c r="K40" s="55" t="n">
        <f aca="false">-K29*Inputs!$E$35</f>
        <v>0.98505</v>
      </c>
      <c r="L40" s="55" t="n">
        <f aca="false">-L29*Inputs!$E$35</f>
        <v>0.98505</v>
      </c>
      <c r="M40" s="55" t="n">
        <f aca="false">-M29*Inputs!$E$35</f>
        <v>0.8125</v>
      </c>
      <c r="N40" s="55" t="n">
        <f aca="false">-N29*Inputs!$E$35</f>
        <v>0.8125</v>
      </c>
      <c r="O40" s="55" t="n">
        <f aca="false">-O29*Inputs!$E$35</f>
        <v>0.8125</v>
      </c>
      <c r="P40" s="55" t="n">
        <f aca="false">-P29*Inputs!$E$35</f>
        <v>0.8125</v>
      </c>
      <c r="R40" s="31" t="n">
        <f aca="false">SUM(E40:H40)</f>
        <v>9.584</v>
      </c>
      <c r="S40" s="55" t="n">
        <f aca="false">SUM(I40:L40)</f>
        <v>3.4441</v>
      </c>
      <c r="T40" s="55" t="n">
        <f aca="false">SUM(M40:P40)</f>
        <v>3.25</v>
      </c>
      <c r="U40" s="55" t="n">
        <f aca="false">-U29*Inputs!$E$35</f>
        <v>2.75</v>
      </c>
      <c r="V40" s="55" t="n">
        <f aca="false">-V29*Inputs!$E$35</f>
        <v>2.25</v>
      </c>
    </row>
    <row r="41" customFormat="false" ht="15" hidden="false" customHeight="false" outlineLevel="0" collapsed="false">
      <c r="A41" s="3" t="s">
        <v>413</v>
      </c>
      <c r="B41" s="13" t="s">
        <v>135</v>
      </c>
      <c r="C41" s="42" t="n">
        <f aca="false">C39+C40</f>
        <v>119.04</v>
      </c>
      <c r="D41" s="42" t="n">
        <f aca="false">D39+D40</f>
        <v>-116.891</v>
      </c>
      <c r="E41" s="42" t="n">
        <f aca="false">E39+E40</f>
        <v>133.104</v>
      </c>
      <c r="F41" s="42" t="n">
        <f aca="false">F39+F40</f>
        <v>107.569</v>
      </c>
      <c r="G41" s="42" t="n">
        <f aca="false">G39+G40</f>
        <v>377.366</v>
      </c>
      <c r="H41" s="42" t="n">
        <f aca="false">H39+H40</f>
        <v>-279.301</v>
      </c>
      <c r="I41" s="42" t="n">
        <f aca="false">I39+I40</f>
        <v>24.773</v>
      </c>
      <c r="J41" s="42" t="n">
        <f aca="false">J39+J40</f>
        <v>79.805</v>
      </c>
      <c r="K41" s="56" t="n">
        <f aca="false">K39+K40</f>
        <v>36.3619073993047</v>
      </c>
      <c r="L41" s="56" t="n">
        <f aca="false">L39+L40</f>
        <v>-81.2235101591978</v>
      </c>
      <c r="M41" s="56" t="n">
        <f aca="false">M39+M40</f>
        <v>40.7198097792324</v>
      </c>
      <c r="N41" s="56" t="n">
        <f aca="false">N39+N40</f>
        <v>77.3317822316654</v>
      </c>
      <c r="O41" s="56" t="n">
        <f aca="false">O39+O40</f>
        <v>42.6971156758885</v>
      </c>
      <c r="P41" s="56" t="n">
        <f aca="false">P39+P40</f>
        <v>-79.4333661667405</v>
      </c>
      <c r="R41" s="42" t="n">
        <f aca="false">R39+R40</f>
        <v>338.738</v>
      </c>
      <c r="S41" s="56" t="n">
        <f aca="false">S39+S40</f>
        <v>59.7163972401067</v>
      </c>
      <c r="T41" s="56" t="n">
        <f aca="false">T39+T40</f>
        <v>81.315341520046</v>
      </c>
      <c r="U41" s="56" t="n">
        <f aca="false">U39+U40</f>
        <v>58.0073686307954</v>
      </c>
      <c r="V41" s="56" t="n">
        <f aca="false">V39+V40</f>
        <v>53.6618170392896</v>
      </c>
    </row>
    <row r="42" customFormat="false" ht="15" hidden="false" customHeight="false" outlineLevel="0" collapsed="false">
      <c r="A42" s="4" t="s">
        <v>414</v>
      </c>
      <c r="B42" s="13" t="s">
        <v>120</v>
      </c>
      <c r="C42" s="57" t="n">
        <f aca="false">Historicals!C23/1000</f>
        <v>130.963</v>
      </c>
      <c r="D42" s="57" t="n">
        <f aca="false">Historicals!D23/1000</f>
        <v>126.264</v>
      </c>
      <c r="E42" s="57" t="n">
        <f aca="false">Historicals!E23/1000</f>
        <v>124.724</v>
      </c>
      <c r="F42" s="57" t="n">
        <f aca="false">Historicals!F23/1000</f>
        <v>122.203</v>
      </c>
      <c r="G42" s="57" t="n">
        <f aca="false">Historicals!G23/1000</f>
        <v>121.676</v>
      </c>
      <c r="H42" s="57" t="n">
        <f aca="false">Historicals!H23/1000</f>
        <v>114.311</v>
      </c>
      <c r="I42" s="57" t="n">
        <f aca="false">Historicals!I23/1000</f>
        <v>110.768</v>
      </c>
      <c r="J42" s="57" t="n">
        <f aca="false">Historicals!J23/1000</f>
        <v>108.568</v>
      </c>
      <c r="K42" s="58" t="n">
        <f aca="false">J42-Inputs!$E$92/Inputs!$E$5</f>
        <v>107.083769944341</v>
      </c>
      <c r="L42" s="58" t="n">
        <f aca="false">K42-Inputs!$E$92/Inputs!$E$5</f>
        <v>105.599539888683</v>
      </c>
      <c r="M42" s="58" t="n">
        <f aca="false">L42-Inputs!$E$92/Inputs!$E$5</f>
        <v>104.115309833024</v>
      </c>
      <c r="N42" s="58" t="n">
        <f aca="false">M42-Inputs!$E$92/Inputs!$E$5</f>
        <v>102.631079777365</v>
      </c>
      <c r="O42" s="58" t="n">
        <f aca="false">N42-Inputs!$E$92/Inputs!$E$5</f>
        <v>101.146849721707</v>
      </c>
      <c r="P42" s="58" t="n">
        <f aca="false">O42-Inputs!$E$92/Inputs!$E$5</f>
        <v>99.6626196660482</v>
      </c>
      <c r="R42" s="57" t="n">
        <f aca="false">AVERAGE(E42:H42)</f>
        <v>120.7285</v>
      </c>
      <c r="S42" s="58" t="n">
        <f aca="false">AVERAGE(I42:L42)</f>
        <v>108.004827458256</v>
      </c>
      <c r="T42" s="58" t="n">
        <f aca="false">AVERAGE(M42:P42)</f>
        <v>101.888964749536</v>
      </c>
      <c r="U42" s="58" t="n">
        <f aca="false">T42-4*Inputs!$E$92/Inputs!$E$5</f>
        <v>95.9520445269017</v>
      </c>
      <c r="V42" s="58" t="n">
        <f aca="false">U42-4*Inputs!$E$92/Inputs!$E$5</f>
        <v>90.0151243042672</v>
      </c>
    </row>
    <row r="43" customFormat="false" ht="15" hidden="false" customHeight="false" outlineLevel="0" collapsed="false">
      <c r="A43" s="3" t="s">
        <v>415</v>
      </c>
      <c r="B43" s="13" t="s">
        <v>59</v>
      </c>
      <c r="C43" s="5" t="n">
        <f aca="false">C41/C42</f>
        <v>0.908959018959553</v>
      </c>
      <c r="D43" s="5" t="n">
        <f aca="false">D41/D42</f>
        <v>-0.925766647658874</v>
      </c>
      <c r="E43" s="5" t="n">
        <f aca="false">E41/E42</f>
        <v>1.06718835188095</v>
      </c>
      <c r="F43" s="5" t="n">
        <f aca="false">F41/F42</f>
        <v>0.88024843907269</v>
      </c>
      <c r="G43" s="5" t="n">
        <f aca="false">G41/G42</f>
        <v>3.10140044051415</v>
      </c>
      <c r="H43" s="5" t="n">
        <f aca="false">H41/H42</f>
        <v>-2.44334316032578</v>
      </c>
      <c r="I43" s="5" t="n">
        <f aca="false">I41/I42</f>
        <v>0.223647623862487</v>
      </c>
      <c r="J43" s="5" t="n">
        <f aca="false">J41/J42</f>
        <v>0.735069265345221</v>
      </c>
      <c r="K43" s="59" t="n">
        <f aca="false">K41/K42</f>
        <v>0.339565065912457</v>
      </c>
      <c r="L43" s="59" t="n">
        <f aca="false">L41/L42</f>
        <v>-0.769165379364523</v>
      </c>
      <c r="M43" s="59" t="n">
        <f aca="false">M41/M42</f>
        <v>0.391102997671881</v>
      </c>
      <c r="N43" s="59" t="n">
        <f aca="false">N41/N42</f>
        <v>0.753492824974841</v>
      </c>
      <c r="O43" s="59" t="n">
        <f aca="false">O41/O42</f>
        <v>0.422129960481858</v>
      </c>
      <c r="P43" s="59" t="n">
        <f aca="false">P41/P42</f>
        <v>-0.797022659377283</v>
      </c>
      <c r="R43" s="5" t="n">
        <f aca="false">R41/R42</f>
        <v>2.80578322434222</v>
      </c>
      <c r="S43" s="59" t="n">
        <f aca="false">S41/S42</f>
        <v>0.552904889952138</v>
      </c>
      <c r="T43" s="59" t="n">
        <f aca="false">T41/T42</f>
        <v>0.798078003049061</v>
      </c>
      <c r="U43" s="59" t="n">
        <f aca="false">U41/U42</f>
        <v>0.604545415543825</v>
      </c>
      <c r="V43" s="59" t="n">
        <f aca="false">V41/V42</f>
        <v>0.596142231142215</v>
      </c>
    </row>
    <row r="44" customFormat="false" ht="15" hidden="false" customHeight="false" outlineLevel="0" collapsed="false">
      <c r="A44" s="4" t="s">
        <v>416</v>
      </c>
      <c r="B44" s="13" t="s">
        <v>59</v>
      </c>
      <c r="C44" s="43" t="n">
        <f aca="false">Historicals!C24</f>
        <v>0.91</v>
      </c>
      <c r="D44" s="43" t="n">
        <f aca="false">Historicals!D24</f>
        <v>-0.93</v>
      </c>
      <c r="E44" s="43" t="n">
        <f aca="false">Historicals!E24</f>
        <v>1.07</v>
      </c>
      <c r="F44" s="43" t="n">
        <f aca="false">Historicals!F24</f>
        <v>0.88</v>
      </c>
      <c r="G44" s="43" t="n">
        <f aca="false">Historicals!G24</f>
        <v>3.1</v>
      </c>
      <c r="H44" s="43" t="n">
        <f aca="false">Historicals!H24</f>
        <v>-2.44</v>
      </c>
      <c r="I44" s="43" t="n">
        <f aca="false">Historicals!I24</f>
        <v>0.22</v>
      </c>
      <c r="J44" s="43" t="n">
        <f aca="false">Historicals!J24</f>
        <v>0.75</v>
      </c>
    </row>
    <row r="45" customFormat="false" ht="15" hidden="false" customHeight="false" outlineLevel="0" collapsed="false">
      <c r="A45" s="4" t="s">
        <v>60</v>
      </c>
      <c r="B45" s="13" t="s">
        <v>59</v>
      </c>
      <c r="C45" s="60" t="n">
        <f aca="false">Historicals!C25</f>
        <v>0.1725</v>
      </c>
      <c r="D45" s="60" t="n">
        <f aca="false">Historicals!D25</f>
        <v>0.1725</v>
      </c>
      <c r="E45" s="60" t="n">
        <f aca="false">Historicals!E25</f>
        <v>0.18</v>
      </c>
      <c r="F45" s="60" t="n">
        <f aca="false">Historicals!F25</f>
        <v>0.18</v>
      </c>
      <c r="G45" s="60" t="n">
        <f aca="false">Historicals!G25</f>
        <v>0.18</v>
      </c>
      <c r="H45" s="60" t="n">
        <f aca="false">Historicals!H25</f>
        <v>0.18</v>
      </c>
      <c r="I45" s="60" t="n">
        <f aca="false">Historicals!I25</f>
        <v>0.1875</v>
      </c>
      <c r="J45" s="60" t="n">
        <f aca="false">Historicals!J25</f>
        <v>0.1875</v>
      </c>
      <c r="K45" s="61" t="n">
        <f aca="false">J45</f>
        <v>0.1875</v>
      </c>
      <c r="L45" s="61" t="n">
        <f aca="false">J45</f>
        <v>0.1875</v>
      </c>
      <c r="M45" s="61" t="n">
        <f aca="false">$J45*(1+Inputs!$E$45)</f>
        <v>0.195</v>
      </c>
      <c r="N45" s="61" t="n">
        <f aca="false">$J45*(1+Inputs!$E$45)</f>
        <v>0.195</v>
      </c>
      <c r="O45" s="61" t="n">
        <f aca="false">$J45*(1+Inputs!$E$45)</f>
        <v>0.195</v>
      </c>
      <c r="P45" s="61" t="n">
        <f aca="false">$J45*(1+Inputs!$E$45)</f>
        <v>0.195</v>
      </c>
      <c r="R45" s="60" t="n">
        <f aca="false">SUM(E45:H45)</f>
        <v>0.72</v>
      </c>
      <c r="S45" s="61" t="n">
        <f aca="false">SUM(I45:L45)</f>
        <v>0.75</v>
      </c>
      <c r="T45" s="61" t="n">
        <f aca="false">SUM(M45:P45)</f>
        <v>0.78</v>
      </c>
      <c r="U45" s="61" t="n">
        <f aca="false">T45*(1+Inputs!$E$45)</f>
        <v>0.8112</v>
      </c>
      <c r="V45" s="61" t="n">
        <f aca="false">U45*(1+Inputs!$E$45)</f>
        <v>0.843648</v>
      </c>
    </row>
    <row r="47" customFormat="false" ht="15" hidden="false" customHeight="false" outlineLevel="0" collapsed="false">
      <c r="A47" s="16" t="s">
        <v>417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R47" s="17"/>
      <c r="S47" s="17"/>
      <c r="T47" s="17"/>
      <c r="U47" s="17"/>
      <c r="V47" s="17"/>
    </row>
    <row r="48" customFormat="false" ht="15" hidden="false" customHeight="false" outlineLevel="0" collapsed="false">
      <c r="A48" s="4" t="s">
        <v>418</v>
      </c>
      <c r="B48" s="13" t="s">
        <v>135</v>
      </c>
      <c r="C48" s="31" t="n">
        <f aca="false">Historicals!C57/1000</f>
        <v>39.19</v>
      </c>
      <c r="D48" s="31" t="n">
        <f aca="false">Historicals!D57/1000</f>
        <v>41.11</v>
      </c>
      <c r="E48" s="31" t="n">
        <f aca="false">Historicals!E57/1000</f>
        <v>41.7</v>
      </c>
      <c r="F48" s="31" t="n">
        <f aca="false">Historicals!F57/1000</f>
        <v>40.43</v>
      </c>
      <c r="G48" s="31" t="n">
        <f aca="false">Historicals!G57/1000</f>
        <v>44.21</v>
      </c>
      <c r="H48" s="31" t="n">
        <f aca="false">Historicals!H57/1000</f>
        <v>46.03</v>
      </c>
      <c r="I48" s="31" t="n">
        <f aca="false">Historicals!I57/1000</f>
        <v>44.14</v>
      </c>
      <c r="J48" s="31" t="n">
        <f aca="false">Historicals!J57/1000</f>
        <v>42.56</v>
      </c>
      <c r="K48" s="55" t="n">
        <f aca="false">Inputs!$E$33</f>
        <v>43</v>
      </c>
      <c r="L48" s="55" t="n">
        <f aca="false">Inputs!$E$33</f>
        <v>43</v>
      </c>
      <c r="M48" s="55" t="n">
        <f aca="false">Inputs!$E$33</f>
        <v>43</v>
      </c>
      <c r="N48" s="55" t="n">
        <f aca="false">Inputs!$E$33</f>
        <v>43</v>
      </c>
      <c r="O48" s="55" t="n">
        <f aca="false">Inputs!$E$33</f>
        <v>43</v>
      </c>
      <c r="P48" s="55" t="n">
        <f aca="false">Inputs!$E$33</f>
        <v>43</v>
      </c>
      <c r="R48" s="31" t="n">
        <f aca="false">SUM(E48:H48)</f>
        <v>172.37</v>
      </c>
      <c r="S48" s="55" t="n">
        <f aca="false">SUM(I48:L48)</f>
        <v>172.7</v>
      </c>
      <c r="T48" s="55" t="n">
        <f aca="false">SUM(M48:P48)</f>
        <v>172</v>
      </c>
      <c r="U48" s="55" t="n">
        <f aca="false">4*Inputs!$E$33</f>
        <v>172</v>
      </c>
      <c r="V48" s="55" t="n">
        <f aca="false">4*Inputs!$E$33</f>
        <v>172</v>
      </c>
    </row>
    <row r="49" customFormat="false" ht="15" hidden="false" customHeight="false" outlineLevel="0" collapsed="false">
      <c r="A49" s="3" t="s">
        <v>419</v>
      </c>
      <c r="B49" s="13" t="s">
        <v>135</v>
      </c>
      <c r="C49" s="42" t="n">
        <f aca="false">C26+C29+C48</f>
        <v>68.242</v>
      </c>
      <c r="D49" s="42" t="n">
        <f aca="false">D26+D29+D48</f>
        <v>-198.678</v>
      </c>
      <c r="E49" s="42" t="n">
        <f aca="false">E26+E29+E48</f>
        <v>138.163</v>
      </c>
      <c r="F49" s="42" t="n">
        <f aca="false">F26+F29+F48</f>
        <v>83.093</v>
      </c>
      <c r="G49" s="42" t="n">
        <f aca="false">G26+G29+G48</f>
        <v>80.148</v>
      </c>
      <c r="H49" s="42" t="n">
        <f aca="false">H26+H29+H48</f>
        <v>-232.781</v>
      </c>
      <c r="I49" s="42" t="n">
        <f aca="false">I26+I29+I48</f>
        <v>45.394</v>
      </c>
      <c r="J49" s="42" t="n">
        <f aca="false">J26+J29+J48</f>
        <v>96.971</v>
      </c>
      <c r="K49" s="56" t="n">
        <f aca="false">K26+K29+K48</f>
        <v>63.4634706484477</v>
      </c>
      <c r="L49" s="56" t="n">
        <f aca="false">L26+L29+L48</f>
        <v>-89.244863843114</v>
      </c>
      <c r="M49" s="56" t="n">
        <f aca="false">M26+M29+M48</f>
        <v>61.1776750379641</v>
      </c>
      <c r="N49" s="56" t="n">
        <f aca="false">N26+N29+N48</f>
        <v>108.725691209955</v>
      </c>
      <c r="O49" s="56" t="n">
        <f aca="false">O26+O29+O48</f>
        <v>63.7456047738812</v>
      </c>
      <c r="P49" s="56" t="n">
        <f aca="false">P26+P29+P48</f>
        <v>-94.8654106061564</v>
      </c>
      <c r="R49" s="42" t="n">
        <f aca="false">R26+R29+R48</f>
        <v>68.6229999999999</v>
      </c>
      <c r="S49" s="56" t="n">
        <f aca="false">S26+S29+S48</f>
        <v>116.583606805333</v>
      </c>
      <c r="T49" s="56" t="n">
        <f aca="false">T26+T29+T48</f>
        <v>138.783560415644</v>
      </c>
      <c r="U49" s="56" t="n">
        <f aca="false">U26+U29+U48</f>
        <v>104.16281640363</v>
      </c>
      <c r="V49" s="56" t="n">
        <f aca="false">V26+V29+V48</f>
        <v>97.168593557519</v>
      </c>
    </row>
    <row r="50" customFormat="false" ht="15" hidden="false" customHeight="false" outlineLevel="0" collapsed="false">
      <c r="A50" s="4" t="s">
        <v>420</v>
      </c>
      <c r="B50" s="13" t="s">
        <v>135</v>
      </c>
      <c r="C50" s="31" t="n">
        <f aca="false">C33+C48</f>
        <v>144.986</v>
      </c>
      <c r="D50" s="31" t="n">
        <f aca="false">D33+D48</f>
        <v>-152.238</v>
      </c>
      <c r="E50" s="31" t="n">
        <f aca="false">E33+E48</f>
        <v>202.199</v>
      </c>
      <c r="F50" s="31" t="n">
        <f aca="false">F33+F48</f>
        <v>152.866</v>
      </c>
      <c r="G50" s="31" t="n">
        <f aca="false">G33+G48</f>
        <v>518.968</v>
      </c>
      <c r="H50" s="31" t="n">
        <f aca="false">H33+H48</f>
        <v>-315.028</v>
      </c>
      <c r="I50" s="31" t="n">
        <f aca="false">I33+I48</f>
        <v>67.634</v>
      </c>
      <c r="J50" s="31" t="n">
        <f aca="false">J33+J48</f>
        <v>118.57</v>
      </c>
      <c r="K50" s="55" t="n">
        <f aca="false">K33+K48</f>
        <v>71.5439706484477</v>
      </c>
      <c r="L50" s="55" t="n">
        <f aca="false">L33+L48</f>
        <v>-81.164363843114</v>
      </c>
      <c r="M50" s="55" t="n">
        <f aca="false">M33+M48</f>
        <v>77.4276750379641</v>
      </c>
      <c r="N50" s="55" t="n">
        <f aca="false">N33+N48</f>
        <v>124.975691209955</v>
      </c>
      <c r="O50" s="55" t="n">
        <f aca="false">O33+O48</f>
        <v>79.9956047738812</v>
      </c>
      <c r="P50" s="55" t="n">
        <f aca="false">P33+P48</f>
        <v>-78.6154106061564</v>
      </c>
      <c r="R50" s="31" t="n">
        <f aca="false">R33+R48</f>
        <v>559.005</v>
      </c>
      <c r="S50" s="55" t="n">
        <f aca="false">S33+S48</f>
        <v>176.583606805333</v>
      </c>
      <c r="T50" s="55" t="n">
        <f aca="false">T33+T48</f>
        <v>203.783560415644</v>
      </c>
      <c r="U50" s="55" t="n">
        <f aca="false">U33+U48</f>
        <v>174.16281640363</v>
      </c>
      <c r="V50" s="55" t="n">
        <f aca="false">V33+V48</f>
        <v>169.168593557519</v>
      </c>
    </row>
    <row r="51" customFormat="false" ht="15" hidden="false" customHeight="false" outlineLevel="0" collapsed="false">
      <c r="A51" s="4" t="s">
        <v>421</v>
      </c>
      <c r="B51" s="13" t="s">
        <v>59</v>
      </c>
      <c r="S51" s="62" t="n">
        <f aca="false">Inputs!$E$7</f>
        <v>0.68</v>
      </c>
      <c r="T51" s="50"/>
      <c r="U51" s="50"/>
      <c r="V51" s="50"/>
    </row>
    <row r="52" customFormat="false" ht="15" hidden="false" customHeight="false" outlineLevel="0" collapsed="false">
      <c r="A52" s="4" t="s">
        <v>422</v>
      </c>
      <c r="B52" s="13" t="s">
        <v>73</v>
      </c>
      <c r="S52" s="51" t="n">
        <f aca="false">S43/S51-1</f>
        <v>-0.186904573599797</v>
      </c>
      <c r="T52" s="50"/>
      <c r="U52" s="50"/>
      <c r="V52" s="50"/>
    </row>
    <row r="53" customFormat="false" ht="15" hidden="false" customHeight="false" outlineLevel="0" collapsed="false">
      <c r="A53" s="4" t="s">
        <v>423</v>
      </c>
      <c r="B53" s="13"/>
      <c r="S53" s="63" t="str">
        <f aca="false">IF(AND(S26&gt;=Inputs!$E$24,S26&lt;=Inputs!$E$25),"Yes","No")</f>
        <v>Yes</v>
      </c>
      <c r="T53" s="50"/>
      <c r="U53" s="50"/>
      <c r="V53" s="50"/>
    </row>
    <row r="55" customFormat="false" ht="15" hidden="false" customHeight="false" outlineLevel="0" collapsed="false">
      <c r="A55" s="16" t="s">
        <v>74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R55" s="17"/>
      <c r="S55" s="17"/>
      <c r="T55" s="17"/>
      <c r="U55" s="17"/>
      <c r="V55" s="17"/>
    </row>
    <row r="56" customFormat="false" ht="15" hidden="false" customHeight="false" outlineLevel="0" collapsed="false">
      <c r="A56" s="4" t="s">
        <v>424</v>
      </c>
      <c r="B56" s="13" t="s">
        <v>135</v>
      </c>
      <c r="C56" s="31" t="n">
        <f aca="false">(Historicals!C38+Historicals!C39)/1000</f>
        <v>2391.82</v>
      </c>
      <c r="D56" s="31" t="n">
        <f aca="false">(Historicals!D38+Historicals!D39)/1000</f>
        <v>1725.269</v>
      </c>
      <c r="E56" s="31" t="n">
        <f aca="false">(Historicals!E38+Historicals!E39)/1000</f>
        <v>2081.307</v>
      </c>
      <c r="F56" s="31" t="n">
        <f aca="false">(Historicals!F38+Historicals!F39)/1000</f>
        <v>1737.446</v>
      </c>
      <c r="G56" s="31" t="n">
        <f aca="false">(Historicals!G38+Historicals!G39)/1000</f>
        <v>1826.568</v>
      </c>
      <c r="H56" s="31" t="n">
        <f aca="false">(Historicals!H38+Historicals!H39)/1000</f>
        <v>3091.744</v>
      </c>
      <c r="I56" s="31" t="n">
        <f aca="false">(Historicals!I38+Historicals!I39)/1000</f>
        <v>1805.068</v>
      </c>
      <c r="J56" s="31" t="n">
        <f aca="false">(Historicals!J38+Historicals!J39)/1000</f>
        <v>1895.789</v>
      </c>
      <c r="K56" s="55" t="n">
        <f aca="false">J56+K87</f>
        <v>1787.93213321997</v>
      </c>
      <c r="L56" s="55" t="n">
        <f aca="false">K56+L87</f>
        <v>1571.08829247162</v>
      </c>
      <c r="M56" s="55" t="n">
        <f aca="false">L56+M87</f>
        <v>1771.70759406327</v>
      </c>
      <c r="N56" s="55" t="n">
        <f aca="false">M56+N87</f>
        <v>1698.7230727784</v>
      </c>
      <c r="O56" s="55" t="n">
        <f aca="false">N56+O87</f>
        <v>1623.22694398451</v>
      </c>
      <c r="P56" s="55" t="n">
        <f aca="false">O56+P87</f>
        <v>1434.33032520622</v>
      </c>
      <c r="R56" s="31" t="n">
        <f aca="false">H56</f>
        <v>3091.744</v>
      </c>
      <c r="S56" s="55" t="n">
        <f aca="false">L56</f>
        <v>1571.08829247162</v>
      </c>
      <c r="T56" s="55" t="n">
        <f aca="false">P56</f>
        <v>1434.33032520622</v>
      </c>
      <c r="U56" s="55" t="n">
        <f aca="false">T56+U87</f>
        <v>1279.96510932336</v>
      </c>
      <c r="V56" s="55" t="n">
        <f aca="false">U56+V87</f>
        <v>1120.74257847509</v>
      </c>
    </row>
    <row r="57" customFormat="false" ht="15" hidden="false" customHeight="false" outlineLevel="0" collapsed="false">
      <c r="A57" s="4" t="s">
        <v>425</v>
      </c>
      <c r="B57" s="13" t="s">
        <v>135</v>
      </c>
      <c r="C57" s="31" t="n">
        <f aca="false">Historicals!C40/1000</f>
        <v>307.701</v>
      </c>
      <c r="D57" s="31" t="n">
        <f aca="false">Historicals!D40/1000</f>
        <v>234.315</v>
      </c>
      <c r="E57" s="31" t="n">
        <f aca="false">Historicals!E40/1000</f>
        <v>313.334</v>
      </c>
      <c r="F57" s="31" t="n">
        <f aca="false">Historicals!F40/1000</f>
        <v>325.756</v>
      </c>
      <c r="G57" s="31" t="n">
        <f aca="false">Historicals!G40/1000</f>
        <v>305.01</v>
      </c>
      <c r="H57" s="31" t="n">
        <f aca="false">Historicals!H40/1000</f>
        <v>225.76</v>
      </c>
      <c r="I57" s="31" t="n">
        <f aca="false">Historicals!I40/1000</f>
        <v>285.786</v>
      </c>
      <c r="J57" s="31" t="n">
        <f aca="false">Historicals!J40/1000</f>
        <v>301.788</v>
      </c>
      <c r="K57" s="55" t="n">
        <f aca="false">G57*($S$21/$R$21)</f>
        <v>332.658944744826</v>
      </c>
      <c r="L57" s="55" t="n">
        <f aca="false">H57*($S$21/$R$21)</f>
        <v>246.224987264653</v>
      </c>
      <c r="M57" s="55" t="n">
        <f aca="false">I57*($T$21/$S$21)</f>
        <v>289.92214660478</v>
      </c>
      <c r="N57" s="55" t="n">
        <f aca="false">J57*($T$21/$S$21)</f>
        <v>306.15574163732</v>
      </c>
      <c r="O57" s="55" t="n">
        <f aca="false">K57*($T$21/$S$21)</f>
        <v>337.473477874006</v>
      </c>
      <c r="P57" s="55" t="n">
        <f aca="false">L57*($T$21/$S$21)</f>
        <v>249.788572062672</v>
      </c>
      <c r="R57" s="31" t="n">
        <f aca="false">H57</f>
        <v>225.76</v>
      </c>
      <c r="S57" s="55" t="n">
        <f aca="false">L57</f>
        <v>246.224987264653</v>
      </c>
      <c r="T57" s="55" t="n">
        <f aca="false">P57</f>
        <v>249.788572062672</v>
      </c>
      <c r="U57" s="55" t="n">
        <f aca="false">T57*U21/T21</f>
        <v>247.30979995233</v>
      </c>
      <c r="V57" s="55" t="n">
        <f aca="false">U57*V21/U21</f>
        <v>248.659424009712</v>
      </c>
    </row>
    <row r="58" customFormat="false" ht="15" hidden="false" customHeight="false" outlineLevel="0" collapsed="false">
      <c r="A58" s="4" t="s">
        <v>426</v>
      </c>
      <c r="B58" s="13" t="s">
        <v>135</v>
      </c>
      <c r="C58" s="31" t="n">
        <f aca="false">(Historicals!C41+Historicals!C42+Historicals!C45)/1000</f>
        <v>7800.387</v>
      </c>
      <c r="D58" s="31" t="n">
        <f aca="false">(Historicals!D41+Historicals!D42+Historicals!D45)/1000</f>
        <v>7288.294</v>
      </c>
      <c r="E58" s="31" t="n">
        <f aca="false">(Historicals!E41+Historicals!E42+Historicals!E45)/1000</f>
        <v>7399.607</v>
      </c>
      <c r="F58" s="31" t="n">
        <f aca="false">(Historicals!F41+Historicals!F42+Historicals!F45)/1000</f>
        <v>7326.222</v>
      </c>
      <c r="G58" s="31" t="n">
        <f aca="false">(Historicals!G41+Historicals!G42+Historicals!G45)/1000</f>
        <v>5964.434</v>
      </c>
      <c r="H58" s="31" t="n">
        <f aca="false">(Historicals!H41+Historicals!H42+Historicals!H45)/1000</f>
        <v>1965.224</v>
      </c>
      <c r="I58" s="31" t="n">
        <f aca="false">(Historicals!I41+Historicals!I42+Historicals!I45)/1000</f>
        <v>2441.403</v>
      </c>
      <c r="J58" s="31" t="n">
        <f aca="false">(Historicals!J41+Historicals!J42+Historicals!J45)/1000</f>
        <v>2645.18</v>
      </c>
      <c r="K58" s="55" t="n">
        <f aca="false">J58*(1+Inputs!$E$44)^0.25</f>
        <v>2645.18</v>
      </c>
      <c r="L58" s="55" t="n">
        <f aca="false">K58*(1+Inputs!$E$44)^0.25</f>
        <v>2645.18</v>
      </c>
      <c r="M58" s="55" t="n">
        <f aca="false">L58*(1+Inputs!$E$44)^0.25</f>
        <v>2645.18</v>
      </c>
      <c r="N58" s="55" t="n">
        <f aca="false">M58*(1+Inputs!$E$44)^0.25</f>
        <v>2645.18</v>
      </c>
      <c r="O58" s="55" t="n">
        <f aca="false">N58*(1+Inputs!$E$44)^0.25</f>
        <v>2645.18</v>
      </c>
      <c r="P58" s="55" t="n">
        <f aca="false">O58*(1+Inputs!$E$44)^0.25</f>
        <v>2645.18</v>
      </c>
      <c r="R58" s="31" t="n">
        <f aca="false">H58</f>
        <v>1965.224</v>
      </c>
      <c r="S58" s="55" t="n">
        <f aca="false">L58</f>
        <v>2645.18</v>
      </c>
      <c r="T58" s="55" t="n">
        <f aca="false">P58</f>
        <v>2645.18</v>
      </c>
      <c r="U58" s="55" t="n">
        <f aca="false">T58*(1+Inputs!$E$44)</f>
        <v>2645.18</v>
      </c>
      <c r="V58" s="55" t="n">
        <f aca="false">U58*(1+Inputs!$E$44)</f>
        <v>2645.18</v>
      </c>
    </row>
    <row r="59" customFormat="false" ht="15" hidden="false" customHeight="false" outlineLevel="0" collapsed="false">
      <c r="A59" s="4" t="s">
        <v>427</v>
      </c>
      <c r="B59" s="13" t="s">
        <v>135</v>
      </c>
      <c r="C59" s="31" t="n">
        <f aca="false">Historicals!C43/1000</f>
        <v>681.864</v>
      </c>
      <c r="D59" s="31" t="n">
        <f aca="false">Historicals!D43/1000</f>
        <v>745.793</v>
      </c>
      <c r="E59" s="31" t="n">
        <f aca="false">Historicals!E43/1000</f>
        <v>712.312</v>
      </c>
      <c r="F59" s="31" t="n">
        <f aca="false">Historicals!F43/1000</f>
        <v>630.287</v>
      </c>
      <c r="G59" s="31" t="n">
        <f aca="false">Historicals!G43/1000</f>
        <v>512.186</v>
      </c>
      <c r="H59" s="31" t="n">
        <f aca="false">Historicals!H43/1000</f>
        <v>730.898</v>
      </c>
      <c r="I59" s="31" t="n">
        <f aca="false">Historicals!I43/1000</f>
        <v>622.189</v>
      </c>
      <c r="J59" s="31" t="n">
        <f aca="false">Historicals!J43/1000</f>
        <v>500.935</v>
      </c>
      <c r="K59" s="55" t="n">
        <f aca="false">G59*($S$21/$R$21)</f>
        <v>558.615305311542</v>
      </c>
      <c r="L59" s="55" t="n">
        <f aca="false">H59*($S$21/$R$21)</f>
        <v>797.153396269315</v>
      </c>
      <c r="M59" s="55" t="n">
        <f aca="false">I59*($T$21/$S$21)</f>
        <v>631.193866997968</v>
      </c>
      <c r="N59" s="55" t="n">
        <f aca="false">J59*($T$21/$S$21)</f>
        <v>508.184972355067</v>
      </c>
      <c r="O59" s="55" t="n">
        <f aca="false">K59*($T$21/$S$21)</f>
        <v>566.700077828188</v>
      </c>
      <c r="P59" s="55" t="n">
        <f aca="false">L59*($T$21/$S$21)</f>
        <v>808.6905020529</v>
      </c>
      <c r="R59" s="31" t="n">
        <f aca="false">H59</f>
        <v>730.898</v>
      </c>
      <c r="S59" s="55" t="n">
        <f aca="false">L59</f>
        <v>797.153396269315</v>
      </c>
      <c r="T59" s="55" t="n">
        <f aca="false">P59</f>
        <v>808.6905020529</v>
      </c>
      <c r="U59" s="55" t="n">
        <f aca="false">T59*(U21-U23)/(T21-T23)</f>
        <v>807.549653617275</v>
      </c>
      <c r="V59" s="55" t="n">
        <f aca="false">U59*(V21-V23)/(U21-U23)</f>
        <v>815.369246326926</v>
      </c>
    </row>
    <row r="60" customFormat="false" ht="15" hidden="false" customHeight="false" outlineLevel="0" collapsed="false">
      <c r="A60" s="4" t="s">
        <v>81</v>
      </c>
      <c r="B60" s="13" t="s">
        <v>135</v>
      </c>
      <c r="C60" s="31" t="n">
        <f aca="false">Historicals!C44/1000</f>
        <v>208</v>
      </c>
      <c r="D60" s="31" t="n">
        <f aca="false">Historicals!D44/1000</f>
        <v>259.764</v>
      </c>
      <c r="E60" s="31" t="n">
        <f aca="false">Historicals!E44/1000</f>
        <v>253.687</v>
      </c>
      <c r="F60" s="31" t="n">
        <f aca="false">Historicals!F44/1000</f>
        <v>327.26</v>
      </c>
      <c r="G60" s="31" t="n">
        <f aca="false">Historicals!G44/1000</f>
        <v>297.444</v>
      </c>
      <c r="H60" s="31" t="n">
        <f aca="false">Historicals!H44/1000</f>
        <v>292.383</v>
      </c>
      <c r="I60" s="31" t="n">
        <f aca="false">Historicals!I44/1000</f>
        <v>415.301</v>
      </c>
      <c r="J60" s="31" t="n">
        <f aca="false">Historicals!J44/1000</f>
        <v>250.42</v>
      </c>
      <c r="K60" s="55" t="n">
        <f aca="false">J60</f>
        <v>250.42</v>
      </c>
      <c r="L60" s="55" t="n">
        <f aca="false">K60</f>
        <v>250.42</v>
      </c>
      <c r="M60" s="55" t="n">
        <f aca="false">L60</f>
        <v>250.42</v>
      </c>
      <c r="N60" s="55" t="n">
        <f aca="false">M60</f>
        <v>250.42</v>
      </c>
      <c r="O60" s="55" t="n">
        <f aca="false">N60</f>
        <v>250.42</v>
      </c>
      <c r="P60" s="55" t="n">
        <f aca="false">O60</f>
        <v>250.42</v>
      </c>
      <c r="R60" s="31" t="n">
        <f aca="false">H60</f>
        <v>292.383</v>
      </c>
      <c r="S60" s="55" t="n">
        <f aca="false">L60</f>
        <v>250.42</v>
      </c>
      <c r="T60" s="55" t="n">
        <f aca="false">P60</f>
        <v>250.42</v>
      </c>
      <c r="U60" s="55" t="n">
        <f aca="false">T60</f>
        <v>250.42</v>
      </c>
      <c r="V60" s="55" t="n">
        <f aca="false">U60</f>
        <v>250.42</v>
      </c>
    </row>
    <row r="61" customFormat="false" ht="15" hidden="false" customHeight="false" outlineLevel="0" collapsed="false">
      <c r="A61" s="4" t="s">
        <v>428</v>
      </c>
      <c r="B61" s="13" t="s">
        <v>135</v>
      </c>
      <c r="C61" s="31" t="n">
        <f aca="false">Historicals!C46/1000</f>
        <v>1636.887</v>
      </c>
      <c r="D61" s="31" t="n">
        <f aca="false">Historicals!D46/1000</f>
        <v>1628.144</v>
      </c>
      <c r="E61" s="31" t="n">
        <f aca="false">Historicals!E46/1000</f>
        <v>1622.134</v>
      </c>
      <c r="F61" s="31" t="n">
        <f aca="false">Historicals!F46/1000</f>
        <v>1703.474</v>
      </c>
      <c r="G61" s="31" t="n">
        <f aca="false">Historicals!G46/1000</f>
        <v>1660.742</v>
      </c>
      <c r="H61" s="31" t="n">
        <f aca="false">Historicals!H46/1000</f>
        <v>1738.806</v>
      </c>
      <c r="I61" s="31" t="n">
        <f aca="false">Historicals!I46/1000</f>
        <v>1675.914</v>
      </c>
      <c r="J61" s="31" t="n">
        <f aca="false">Historicals!J46/1000</f>
        <v>1651.753</v>
      </c>
      <c r="K61" s="55" t="n">
        <f aca="false">J61-K79-K48</f>
        <v>1681.406</v>
      </c>
      <c r="L61" s="55" t="n">
        <f aca="false">K61-L79-L48</f>
        <v>1711.059</v>
      </c>
      <c r="M61" s="55" t="n">
        <f aca="false">L61-M79-M48</f>
        <v>1714.309</v>
      </c>
      <c r="N61" s="55" t="n">
        <f aca="false">M61-N79-N48</f>
        <v>1717.559</v>
      </c>
      <c r="O61" s="55" t="n">
        <f aca="false">N61-O79-O48</f>
        <v>1720.809</v>
      </c>
      <c r="P61" s="55" t="n">
        <f aca="false">O61-P79-P48</f>
        <v>1724.059</v>
      </c>
      <c r="R61" s="31" t="n">
        <f aca="false">H61</f>
        <v>1738.806</v>
      </c>
      <c r="S61" s="55" t="n">
        <f aca="false">L61</f>
        <v>1711.059</v>
      </c>
      <c r="T61" s="55" t="n">
        <f aca="false">P61</f>
        <v>1724.059</v>
      </c>
      <c r="U61" s="55" t="n">
        <f aca="false">T61-U79-U48</f>
        <v>1737.059</v>
      </c>
      <c r="V61" s="55" t="n">
        <f aca="false">U61-V79-V48</f>
        <v>1750.059</v>
      </c>
    </row>
    <row r="62" customFormat="false" ht="15" hidden="false" customHeight="false" outlineLevel="0" collapsed="false">
      <c r="A62" s="3" t="s">
        <v>84</v>
      </c>
      <c r="B62" s="13" t="s">
        <v>135</v>
      </c>
      <c r="C62" s="42" t="n">
        <f aca="false">C56+C57+C58+C59+C60+C61</f>
        <v>13026.659</v>
      </c>
      <c r="D62" s="42" t="n">
        <f aca="false">D56+D57+D58+D59+D60+D61</f>
        <v>11881.579</v>
      </c>
      <c r="E62" s="42" t="n">
        <f aca="false">E56+E57+E58+E59+E60+E61</f>
        <v>12382.381</v>
      </c>
      <c r="F62" s="42" t="n">
        <f aca="false">F56+F57+F58+F59+F60+F61</f>
        <v>12050.445</v>
      </c>
      <c r="G62" s="42" t="n">
        <f aca="false">G56+G57+G58+G59+G60+G61</f>
        <v>10566.384</v>
      </c>
      <c r="H62" s="42" t="n">
        <f aca="false">H56+H57+H58+H59+H60+H61</f>
        <v>8044.815</v>
      </c>
      <c r="I62" s="42" t="n">
        <f aca="false">I56+I57+I58+I59+I60+I61</f>
        <v>7245.661</v>
      </c>
      <c r="J62" s="42" t="n">
        <f aca="false">J56+J57+J58+J59+J60+J61</f>
        <v>7245.865</v>
      </c>
      <c r="K62" s="56" t="n">
        <f aca="false">K56+K57+K58+K59+K60+K61</f>
        <v>7256.21238327634</v>
      </c>
      <c r="L62" s="56" t="n">
        <f aca="false">L56+L57+L58+L59+L60+L61</f>
        <v>7221.12567600559</v>
      </c>
      <c r="M62" s="56" t="n">
        <f aca="false">M56+M57+M58+M59+M60+M61</f>
        <v>7302.73260766601</v>
      </c>
      <c r="N62" s="56" t="n">
        <f aca="false">N56+N57+N58+N59+N60+N61</f>
        <v>7126.22278677079</v>
      </c>
      <c r="O62" s="56" t="n">
        <f aca="false">O56+O57+O58+O59+O60+O61</f>
        <v>7143.80949968671</v>
      </c>
      <c r="P62" s="56" t="n">
        <f aca="false">P56+P57+P58+P59+P60+P61</f>
        <v>7112.46839932179</v>
      </c>
      <c r="R62" s="42" t="n">
        <f aca="false">R56+R57+R58+R59+R60+R61</f>
        <v>8044.815</v>
      </c>
      <c r="S62" s="56" t="n">
        <f aca="false">S56+S57+S58+S59+S60+S61</f>
        <v>7221.12567600559</v>
      </c>
      <c r="T62" s="56" t="n">
        <f aca="false">T56+T57+T58+T59+T60+T61</f>
        <v>7112.46839932179</v>
      </c>
      <c r="U62" s="56" t="n">
        <f aca="false">U56+U57+U58+U59+U60+U61</f>
        <v>6967.48356289296</v>
      </c>
      <c r="V62" s="56" t="n">
        <f aca="false">V56+V57+V58+V59+V60+V61</f>
        <v>6830.43024881172</v>
      </c>
    </row>
    <row r="63" customFormat="false" ht="15" hidden="false" customHeight="false" outlineLevel="0" collapsed="false">
      <c r="A63" s="4" t="s">
        <v>429</v>
      </c>
      <c r="B63" s="13" t="s">
        <v>135</v>
      </c>
      <c r="C63" s="31" t="n">
        <f aca="false">Historicals!C48/1000</f>
        <v>931.971</v>
      </c>
      <c r="D63" s="31" t="n">
        <f aca="false">Historicals!D48/1000</f>
        <v>892.678</v>
      </c>
      <c r="E63" s="31" t="n">
        <f aca="false">Historicals!E48/1000</f>
        <v>1105.802</v>
      </c>
      <c r="F63" s="31" t="n">
        <f aca="false">Historicals!F48/1000</f>
        <v>1040.616</v>
      </c>
      <c r="G63" s="31" t="n">
        <f aca="false">Historicals!G48/1000</f>
        <v>971.411</v>
      </c>
      <c r="H63" s="31" t="n">
        <f aca="false">Historicals!H48/1000</f>
        <v>1061.194</v>
      </c>
      <c r="I63" s="31" t="n">
        <f aca="false">Historicals!I48/1000</f>
        <v>1232.554</v>
      </c>
      <c r="J63" s="31" t="n">
        <f aca="false">Historicals!J48/1000</f>
        <v>1033.42</v>
      </c>
      <c r="K63" s="55" t="n">
        <f aca="false">G63*($S$21/$R$21)</f>
        <v>1059.4687327416</v>
      </c>
      <c r="L63" s="55" t="n">
        <f aca="false">H63*($S$21/$R$21)</f>
        <v>1157.39049935917</v>
      </c>
      <c r="M63" s="55" t="n">
        <f aca="false">I63*($T$21/$S$21)</f>
        <v>1250.39260665781</v>
      </c>
      <c r="N63" s="55" t="n">
        <f aca="false">J63*($T$21/$S$21)</f>
        <v>1048.3765640875</v>
      </c>
      <c r="O63" s="55" t="n">
        <f aca="false">K63*($T$21/$S$21)</f>
        <v>1074.80229702326</v>
      </c>
      <c r="P63" s="55" t="n">
        <f aca="false">L63*($T$21/$S$21)</f>
        <v>1174.14127365997</v>
      </c>
      <c r="R63" s="31" t="n">
        <f aca="false">H63</f>
        <v>1061.194</v>
      </c>
      <c r="S63" s="55" t="n">
        <f aca="false">L63</f>
        <v>1157.39049935917</v>
      </c>
      <c r="T63" s="55" t="n">
        <f aca="false">P63</f>
        <v>1174.14127365997</v>
      </c>
      <c r="U63" s="55" t="n">
        <f aca="false">T63*(U21-U23+U25)/(T21-T23+T25)</f>
        <v>1175.73536712057</v>
      </c>
      <c r="V63" s="55" t="n">
        <f aca="false">U63*(V21-V23+V25)/(U21-U23+U25)</f>
        <v>1187.21131558908</v>
      </c>
    </row>
    <row r="64" customFormat="false" ht="15" hidden="false" customHeight="false" outlineLevel="0" collapsed="false">
      <c r="A64" s="4" t="s">
        <v>430</v>
      </c>
      <c r="B64" s="13" t="s">
        <v>135</v>
      </c>
      <c r="C64" s="31" t="n">
        <f aca="false">(Historicals!C49+Historicals!C50+Historicals!C51+Historicals!C52)/1000</f>
        <v>7977.053</v>
      </c>
      <c r="D64" s="31" t="n">
        <f aca="false">(Historicals!D49+Historicals!D50+Historicals!D51+Historicals!D52)/1000</f>
        <v>7133.481</v>
      </c>
      <c r="E64" s="31" t="n">
        <f aca="false">(Historicals!E49+Historicals!E50+Historicals!E51+Historicals!E52)/1000</f>
        <v>7479.237</v>
      </c>
      <c r="F64" s="31" t="n">
        <f aca="false">(Historicals!F49+Historicals!F50+Historicals!F51+Historicals!F52)/1000</f>
        <v>7097.835</v>
      </c>
      <c r="G64" s="31" t="n">
        <f aca="false">(Historicals!G49+Historicals!G50+Historicals!G51+Historicals!G52)/1000</f>
        <v>5454.488</v>
      </c>
      <c r="H64" s="31" t="n">
        <f aca="false">(Historicals!H49+Historicals!H50+Historicals!H51+Historicals!H52)/1000</f>
        <v>3247.112</v>
      </c>
      <c r="I64" s="31" t="n">
        <f aca="false">(Historicals!I49+Historicals!I50+Historicals!I51+Historicals!I52)/1000</f>
        <v>2380.438</v>
      </c>
      <c r="J64" s="31" t="n">
        <f aca="false">(Historicals!J49+Historicals!J50+Historicals!J51+Historicals!J52)/1000</f>
        <v>2508.875</v>
      </c>
      <c r="K64" s="55" t="n">
        <f aca="false">K58*Inputs!$E$61-Inputs!$E$26</f>
        <v>2508.875</v>
      </c>
      <c r="L64" s="55" t="n">
        <f aca="false">L58*Inputs!$E$61-Inputs!$E$26</f>
        <v>2508.875</v>
      </c>
      <c r="M64" s="55" t="n">
        <f aca="false">M58*Inputs!$E$61-Inputs!$E$26</f>
        <v>2508.875</v>
      </c>
      <c r="N64" s="55" t="n">
        <f aca="false">N58*Inputs!$E$61-Inputs!$E$26</f>
        <v>2508.875</v>
      </c>
      <c r="O64" s="55" t="n">
        <f aca="false">O58*Inputs!$E$61-Inputs!$E$26</f>
        <v>2508.875</v>
      </c>
      <c r="P64" s="55" t="n">
        <f aca="false">P58*Inputs!$E$61-Inputs!$E$26</f>
        <v>2508.875</v>
      </c>
      <c r="R64" s="31" t="n">
        <f aca="false">H64</f>
        <v>3247.112</v>
      </c>
      <c r="S64" s="55" t="n">
        <f aca="false">L64</f>
        <v>2508.875</v>
      </c>
      <c r="T64" s="55" t="n">
        <f aca="false">P64</f>
        <v>2508.875</v>
      </c>
      <c r="U64" s="50" t="n">
        <f aca="false">U58*Inputs!$E$61-Inputs!$E$26</f>
        <v>2508.875</v>
      </c>
      <c r="V64" s="50" t="n">
        <f aca="false">V58*Inputs!$E$61-Inputs!$E$26</f>
        <v>2508.875</v>
      </c>
    </row>
    <row r="65" customFormat="false" ht="15" hidden="false" customHeight="false" outlineLevel="0" collapsed="false">
      <c r="A65" s="4" t="s">
        <v>431</v>
      </c>
      <c r="B65" s="13" t="s">
        <v>135</v>
      </c>
      <c r="C65" s="31" t="n">
        <f aca="false">Historicals!C53/1000</f>
        <v>692.523</v>
      </c>
      <c r="D65" s="31" t="n">
        <f aca="false">Historicals!D53/1000</f>
        <v>696.92</v>
      </c>
      <c r="E65" s="31" t="n">
        <f aca="false">Historicals!E53/1000</f>
        <v>623.652</v>
      </c>
      <c r="F65" s="31" t="n">
        <f aca="false">Historicals!F53/1000</f>
        <v>604.061</v>
      </c>
      <c r="G65" s="31" t="n">
        <f aca="false">Historicals!G53/1000</f>
        <v>579.106</v>
      </c>
      <c r="H65" s="31" t="n">
        <f aca="false">Historicals!H53/1000</f>
        <v>579.659</v>
      </c>
      <c r="I65" s="31" t="n">
        <f aca="false">Historicals!I53/1000</f>
        <v>552.534</v>
      </c>
      <c r="J65" s="31" t="n">
        <f aca="false">Historicals!J53/1000</f>
        <v>587.551</v>
      </c>
      <c r="K65" s="55" t="n">
        <f aca="false">J65</f>
        <v>587.551</v>
      </c>
      <c r="L65" s="55" t="n">
        <f aca="false">K65</f>
        <v>587.551</v>
      </c>
      <c r="M65" s="55" t="n">
        <f aca="false">L65</f>
        <v>587.551</v>
      </c>
      <c r="N65" s="55" t="n">
        <f aca="false">M65</f>
        <v>587.551</v>
      </c>
      <c r="O65" s="55" t="n">
        <f aca="false">N65</f>
        <v>587.551</v>
      </c>
      <c r="P65" s="55" t="n">
        <f aca="false">O65</f>
        <v>587.551</v>
      </c>
      <c r="R65" s="31" t="n">
        <f aca="false">H65</f>
        <v>579.659</v>
      </c>
      <c r="S65" s="55" t="n">
        <f aca="false">L65</f>
        <v>587.551</v>
      </c>
      <c r="T65" s="55" t="n">
        <f aca="false">P65</f>
        <v>587.551</v>
      </c>
      <c r="U65" s="55" t="n">
        <f aca="false">T65</f>
        <v>587.551</v>
      </c>
      <c r="V65" s="55" t="n">
        <f aca="false">U65</f>
        <v>587.551</v>
      </c>
    </row>
    <row r="66" customFormat="false" ht="15" hidden="false" customHeight="false" outlineLevel="0" collapsed="false">
      <c r="A66" s="4" t="s">
        <v>91</v>
      </c>
      <c r="B66" s="13" t="s">
        <v>135</v>
      </c>
      <c r="C66" s="31" t="n">
        <f aca="false">Historicals!C54/1000</f>
        <v>3425.112</v>
      </c>
      <c r="D66" s="31" t="n">
        <f aca="false">Historicals!D54/1000</f>
        <v>3158.5</v>
      </c>
      <c r="E66" s="31" t="n">
        <f aca="false">Historicals!E54/1000</f>
        <v>3173.69</v>
      </c>
      <c r="F66" s="31" t="n">
        <f aca="false">Historicals!F54/1000</f>
        <v>3307.933</v>
      </c>
      <c r="G66" s="31" t="n">
        <f aca="false">Historicals!G54/1000</f>
        <v>3561.379</v>
      </c>
      <c r="H66" s="31" t="n">
        <f aca="false">Historicals!H54/1000</f>
        <v>3156.85</v>
      </c>
      <c r="I66" s="31" t="n">
        <f aca="false">Historicals!I54/1000</f>
        <v>3080.135</v>
      </c>
      <c r="J66" s="31" t="n">
        <f aca="false">Historicals!J54/1000</f>
        <v>3116.019</v>
      </c>
      <c r="K66" s="55" t="n">
        <f aca="false">J66+K39+K73+K83+K84</f>
        <v>3100.31765053474</v>
      </c>
      <c r="L66" s="55" t="n">
        <f aca="false">K66+L39+L73+L83+L84</f>
        <v>2967.30917664641</v>
      </c>
      <c r="M66" s="55" t="n">
        <f aca="false">L66+M39+M73+M83+M84</f>
        <v>2955.91400100821</v>
      </c>
      <c r="N66" s="55" t="n">
        <f aca="false">M66+N39+N73+N83+N84</f>
        <v>2981.42022268329</v>
      </c>
      <c r="O66" s="55" t="n">
        <f aca="false">N66+O39+O73+O83+O84</f>
        <v>2972.58120266344</v>
      </c>
      <c r="P66" s="55" t="n">
        <f aca="false">O66+P39+P73+P83+P84</f>
        <v>2841.90112566182</v>
      </c>
      <c r="R66" s="31" t="n">
        <f aca="false">H66</f>
        <v>3156.85</v>
      </c>
      <c r="S66" s="55" t="n">
        <f aca="false">L66</f>
        <v>2967.30917664641</v>
      </c>
      <c r="T66" s="55" t="n">
        <f aca="false">P66</f>
        <v>2841.90112566182</v>
      </c>
      <c r="U66" s="55" t="n">
        <f aca="false">T66+U39+U73+U83+U84</f>
        <v>2695.3221957724</v>
      </c>
      <c r="V66" s="55" t="n">
        <f aca="false">U66+V39+V73+V83+V84</f>
        <v>2546.79293322264</v>
      </c>
    </row>
    <row r="67" customFormat="false" ht="15" hidden="false" customHeight="false" outlineLevel="0" collapsed="false">
      <c r="A67" s="3" t="s">
        <v>432</v>
      </c>
      <c r="B67" s="13" t="s">
        <v>135</v>
      </c>
      <c r="C67" s="42" t="n">
        <f aca="false">C63+C64+C65+C66</f>
        <v>13026.659</v>
      </c>
      <c r="D67" s="42" t="n">
        <f aca="false">D63+D64+D65+D66</f>
        <v>11881.579</v>
      </c>
      <c r="E67" s="42" t="n">
        <f aca="false">E63+E64+E65+E66</f>
        <v>12382.381</v>
      </c>
      <c r="F67" s="42" t="n">
        <f aca="false">F63+F64+F65+F66</f>
        <v>12050.445</v>
      </c>
      <c r="G67" s="42" t="n">
        <f aca="false">G63+G64+G65+G66</f>
        <v>10566.384</v>
      </c>
      <c r="H67" s="42" t="n">
        <f aca="false">H63+H64+H65+H66</f>
        <v>8044.815</v>
      </c>
      <c r="I67" s="42" t="n">
        <f aca="false">I63+I64+I65+I66</f>
        <v>7245.661</v>
      </c>
      <c r="J67" s="42" t="n">
        <f aca="false">J63+J64+J65+J66</f>
        <v>7245.865</v>
      </c>
      <c r="K67" s="56" t="n">
        <f aca="false">K63+K64+K65+K66</f>
        <v>7256.21238327634</v>
      </c>
      <c r="L67" s="56" t="n">
        <f aca="false">L63+L64+L65+L66</f>
        <v>7221.12567600559</v>
      </c>
      <c r="M67" s="56" t="n">
        <f aca="false">M63+M64+M65+M66</f>
        <v>7302.73260766601</v>
      </c>
      <c r="N67" s="56" t="n">
        <f aca="false">N63+N64+N65+N66</f>
        <v>7126.22278677079</v>
      </c>
      <c r="O67" s="56" t="n">
        <f aca="false">O63+O64+O65+O66</f>
        <v>7143.80949968671</v>
      </c>
      <c r="P67" s="56" t="n">
        <f aca="false">P63+P64+P65+P66</f>
        <v>7112.46839932179</v>
      </c>
      <c r="R67" s="42" t="n">
        <f aca="false">R63+R64+R65+R66</f>
        <v>8044.815</v>
      </c>
      <c r="S67" s="56" t="n">
        <f aca="false">S63+S64+S65+S66</f>
        <v>7221.12567600559</v>
      </c>
      <c r="T67" s="56" t="n">
        <f aca="false">T63+T64+T65+T66</f>
        <v>7112.46839932179</v>
      </c>
      <c r="U67" s="56" t="n">
        <f aca="false">U63+U64+U65+U66</f>
        <v>6967.48356289296</v>
      </c>
      <c r="V67" s="56" t="n">
        <f aca="false">V63+V64+V65+V66</f>
        <v>6830.43024881172</v>
      </c>
    </row>
    <row r="68" customFormat="false" ht="15" hidden="false" customHeight="false" outlineLevel="0" collapsed="false">
      <c r="A68" s="4" t="s">
        <v>433</v>
      </c>
      <c r="B68" s="13" t="s">
        <v>135</v>
      </c>
      <c r="C68" s="64" t="n">
        <f aca="false">ROUND(C62-C67,3)</f>
        <v>0</v>
      </c>
      <c r="D68" s="64" t="n">
        <f aca="false">ROUND(D62-D67,3)</f>
        <v>0</v>
      </c>
      <c r="E68" s="64" t="n">
        <f aca="false">ROUND(E62-E67,3)</f>
        <v>0</v>
      </c>
      <c r="F68" s="64" t="n">
        <f aca="false">ROUND(F62-F67,3)</f>
        <v>0</v>
      </c>
      <c r="G68" s="64" t="n">
        <f aca="false">ROUND(G62-G67,3)</f>
        <v>0</v>
      </c>
      <c r="H68" s="64" t="n">
        <f aca="false">ROUND(H62-H67,3)</f>
        <v>0</v>
      </c>
      <c r="I68" s="64" t="n">
        <f aca="false">ROUND(I62-I67,3)</f>
        <v>0</v>
      </c>
      <c r="J68" s="64" t="n">
        <f aca="false">ROUND(J62-J67,3)</f>
        <v>0</v>
      </c>
      <c r="K68" s="65" t="n">
        <f aca="false">ROUND(K62-K67,3)</f>
        <v>0</v>
      </c>
      <c r="L68" s="65" t="n">
        <f aca="false">ROUND(L62-L67,3)</f>
        <v>0</v>
      </c>
      <c r="M68" s="65" t="n">
        <f aca="false">ROUND(M62-M67,3)</f>
        <v>0</v>
      </c>
      <c r="N68" s="65" t="n">
        <f aca="false">ROUND(N62-N67,3)</f>
        <v>0</v>
      </c>
      <c r="O68" s="65" t="n">
        <f aca="false">ROUND(O62-O67,3)</f>
        <v>0</v>
      </c>
      <c r="P68" s="65" t="n">
        <f aca="false">ROUND(P62-P67,3)</f>
        <v>0</v>
      </c>
      <c r="R68" s="64" t="n">
        <f aca="false">ROUND(R62-R67,3)</f>
        <v>0</v>
      </c>
      <c r="S68" s="65" t="n">
        <f aca="false">ROUND(S62-S67,3)</f>
        <v>0</v>
      </c>
      <c r="T68" s="65" t="n">
        <f aca="false">ROUND(T62-T67,3)</f>
        <v>0</v>
      </c>
      <c r="U68" s="65" t="n">
        <f aca="false">ROUND(U62-U67,3)</f>
        <v>0</v>
      </c>
      <c r="V68" s="65" t="n">
        <f aca="false">ROUND(V62-V67,3)</f>
        <v>0</v>
      </c>
    </row>
    <row r="70" customFormat="false" ht="15" hidden="false" customHeight="false" outlineLevel="0" collapsed="false">
      <c r="A70" s="16" t="s">
        <v>434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R70" s="17"/>
      <c r="S70" s="17"/>
      <c r="T70" s="17"/>
      <c r="U70" s="17"/>
      <c r="V70" s="17"/>
    </row>
    <row r="71" customFormat="false" ht="15" hidden="false" customHeight="false" outlineLevel="0" collapsed="false">
      <c r="A71" s="4" t="s">
        <v>411</v>
      </c>
      <c r="B71" s="13" t="s">
        <v>135</v>
      </c>
      <c r="C71" s="31" t="n">
        <f aca="false">C39</f>
        <v>115.967</v>
      </c>
      <c r="D71" s="31" t="n">
        <f aca="false">D39</f>
        <v>-118.429</v>
      </c>
      <c r="E71" s="31" t="n">
        <f aca="false">E39</f>
        <v>130.797</v>
      </c>
      <c r="F71" s="31" t="n">
        <f aca="false">F39</f>
        <v>105.745</v>
      </c>
      <c r="G71" s="31" t="n">
        <f aca="false">G39</f>
        <v>375.165</v>
      </c>
      <c r="H71" s="31" t="n">
        <f aca="false">H39</f>
        <v>-282.553</v>
      </c>
      <c r="I71" s="31" t="n">
        <f aca="false">I39</f>
        <v>24.123</v>
      </c>
      <c r="J71" s="31" t="n">
        <f aca="false">J39</f>
        <v>78.981</v>
      </c>
      <c r="K71" s="55" t="n">
        <f aca="false">K39</f>
        <v>35.3768573993047</v>
      </c>
      <c r="L71" s="55" t="n">
        <f aca="false">L39</f>
        <v>-82.2085601591978</v>
      </c>
      <c r="M71" s="55" t="n">
        <f aca="false">M39</f>
        <v>39.9073097792324</v>
      </c>
      <c r="N71" s="55" t="n">
        <f aca="false">N39</f>
        <v>76.5192822316654</v>
      </c>
      <c r="O71" s="55" t="n">
        <f aca="false">O39</f>
        <v>41.8846156758885</v>
      </c>
      <c r="P71" s="55" t="n">
        <f aca="false">P39</f>
        <v>-80.2458661667405</v>
      </c>
      <c r="R71" s="31" t="n">
        <f aca="false">SUM(E71:H71)</f>
        <v>329.154</v>
      </c>
      <c r="S71" s="55" t="n">
        <f aca="false">SUM(I71:L71)</f>
        <v>56.2722972401069</v>
      </c>
      <c r="T71" s="55" t="n">
        <f aca="false">SUM(M71:P71)</f>
        <v>78.0653415200458</v>
      </c>
      <c r="U71" s="55" t="n">
        <f aca="false">U39</f>
        <v>55.2573686307954</v>
      </c>
      <c r="V71" s="55" t="n">
        <f aca="false">V39</f>
        <v>51.4118170392896</v>
      </c>
    </row>
    <row r="72" customFormat="false" ht="15" hidden="false" customHeight="false" outlineLevel="0" collapsed="false">
      <c r="A72" s="4" t="s">
        <v>418</v>
      </c>
      <c r="B72" s="13" t="s">
        <v>135</v>
      </c>
      <c r="C72" s="31" t="n">
        <f aca="false">Historicals!C57/1000</f>
        <v>39.19</v>
      </c>
      <c r="D72" s="31" t="n">
        <f aca="false">Historicals!D57/1000</f>
        <v>41.11</v>
      </c>
      <c r="E72" s="31" t="n">
        <f aca="false">Historicals!E57/1000</f>
        <v>41.7</v>
      </c>
      <c r="F72" s="31" t="n">
        <f aca="false">Historicals!F57/1000</f>
        <v>40.43</v>
      </c>
      <c r="G72" s="31" t="n">
        <f aca="false">Historicals!G57/1000</f>
        <v>44.21</v>
      </c>
      <c r="H72" s="31" t="n">
        <f aca="false">Historicals!H57/1000</f>
        <v>46.03</v>
      </c>
      <c r="I72" s="31" t="n">
        <f aca="false">Historicals!I57/1000</f>
        <v>44.14</v>
      </c>
      <c r="J72" s="31" t="n">
        <f aca="false">Historicals!J57/1000</f>
        <v>42.56</v>
      </c>
      <c r="K72" s="55" t="n">
        <f aca="false">K48</f>
        <v>43</v>
      </c>
      <c r="L72" s="55" t="n">
        <f aca="false">L48</f>
        <v>43</v>
      </c>
      <c r="M72" s="55" t="n">
        <f aca="false">M48</f>
        <v>43</v>
      </c>
      <c r="N72" s="55" t="n">
        <f aca="false">N48</f>
        <v>43</v>
      </c>
      <c r="O72" s="55" t="n">
        <f aca="false">O48</f>
        <v>43</v>
      </c>
      <c r="P72" s="55" t="n">
        <f aca="false">P48</f>
        <v>43</v>
      </c>
      <c r="R72" s="31" t="n">
        <f aca="false">SUM(E72:H72)</f>
        <v>172.37</v>
      </c>
      <c r="S72" s="55" t="n">
        <f aca="false">SUM(I72:L72)</f>
        <v>172.7</v>
      </c>
      <c r="T72" s="55" t="n">
        <f aca="false">SUM(M72:P72)</f>
        <v>172</v>
      </c>
      <c r="U72" s="55" t="n">
        <f aca="false">U48</f>
        <v>172</v>
      </c>
      <c r="V72" s="55" t="n">
        <f aca="false">V48</f>
        <v>172</v>
      </c>
    </row>
    <row r="73" customFormat="false" ht="15" hidden="false" customHeight="false" outlineLevel="0" collapsed="false">
      <c r="A73" s="4" t="s">
        <v>95</v>
      </c>
      <c r="B73" s="13" t="s">
        <v>135</v>
      </c>
      <c r="C73" s="31" t="n">
        <f aca="false">Historicals!C58/1000</f>
        <v>10.83</v>
      </c>
      <c r="D73" s="31" t="n">
        <f aca="false">Historicals!D58/1000</f>
        <v>9.19</v>
      </c>
      <c r="E73" s="31" t="n">
        <f aca="false">Historicals!E58/1000</f>
        <v>6.82</v>
      </c>
      <c r="F73" s="31" t="n">
        <f aca="false">Historicals!F58/1000</f>
        <v>10.59</v>
      </c>
      <c r="G73" s="31" t="n">
        <f aca="false">Historicals!G58/1000</f>
        <v>8.43</v>
      </c>
      <c r="H73" s="31" t="n">
        <f aca="false">Historicals!H58/1000</f>
        <v>5.91</v>
      </c>
      <c r="I73" s="31" t="n">
        <f aca="false">Historicals!I58/1000</f>
        <v>8.54</v>
      </c>
      <c r="J73" s="31" t="n">
        <f aca="false">Historicals!J58/1000</f>
        <v>9.49</v>
      </c>
      <c r="K73" s="55" t="n">
        <f aca="false">Inputs!$E$34</f>
        <v>9</v>
      </c>
      <c r="L73" s="55" t="n">
        <f aca="false">Inputs!$E$34</f>
        <v>9</v>
      </c>
      <c r="M73" s="55" t="n">
        <f aca="false">Inputs!$E$34</f>
        <v>9</v>
      </c>
      <c r="N73" s="55" t="n">
        <f aca="false">Inputs!$E$34</f>
        <v>9</v>
      </c>
      <c r="O73" s="55" t="n">
        <f aca="false">Inputs!$E$34</f>
        <v>9</v>
      </c>
      <c r="P73" s="55" t="n">
        <f aca="false">Inputs!$E$34</f>
        <v>9</v>
      </c>
      <c r="R73" s="31" t="n">
        <f aca="false">SUM(E73:H73)</f>
        <v>31.75</v>
      </c>
      <c r="S73" s="55" t="n">
        <f aca="false">SUM(I73:L73)</f>
        <v>36.03</v>
      </c>
      <c r="T73" s="55" t="n">
        <f aca="false">SUM(M73:P73)</f>
        <v>36</v>
      </c>
      <c r="U73" s="55" t="n">
        <f aca="false">4*Inputs!$E$34</f>
        <v>36</v>
      </c>
      <c r="V73" s="55" t="n">
        <f aca="false">4*Inputs!$E$34</f>
        <v>36</v>
      </c>
    </row>
    <row r="74" customFormat="false" ht="15" hidden="false" customHeight="false" outlineLevel="0" collapsed="false">
      <c r="A74" s="4" t="s">
        <v>435</v>
      </c>
      <c r="B74" s="13" t="s">
        <v>135</v>
      </c>
      <c r="K74" s="55" t="n">
        <f aca="false">-(K57-J57)</f>
        <v>-30.8709447448257</v>
      </c>
      <c r="L74" s="55" t="n">
        <f aca="false">-(L57-K57)</f>
        <v>86.4339574801726</v>
      </c>
      <c r="M74" s="55" t="n">
        <f aca="false">-(M57-L57)</f>
        <v>-43.6971593401265</v>
      </c>
      <c r="N74" s="55" t="n">
        <f aca="false">-(N57-M57)</f>
        <v>-16.2335950325407</v>
      </c>
      <c r="O74" s="55" t="n">
        <f aca="false">-(O57-N57)</f>
        <v>-31.3177362366855</v>
      </c>
      <c r="P74" s="55" t="n">
        <f aca="false">-(P57-O57)</f>
        <v>87.684905811334</v>
      </c>
      <c r="R74" s="31" t="n">
        <f aca="false">SUM(E74:H74)</f>
        <v>0</v>
      </c>
      <c r="S74" s="55" t="n">
        <f aca="false">SUM(I74:L74)</f>
        <v>55.5630127353469</v>
      </c>
      <c r="T74" s="55" t="n">
        <f aca="false">SUM(M74:P74)</f>
        <v>-3.56358479801875</v>
      </c>
      <c r="U74" s="55" t="n">
        <f aca="false">-(U57-T57)</f>
        <v>2.47877211034222</v>
      </c>
      <c r="V74" s="55" t="n">
        <f aca="false">-(V57-U57)</f>
        <v>-1.34962405738196</v>
      </c>
    </row>
    <row r="75" customFormat="false" ht="15" hidden="false" customHeight="false" outlineLevel="0" collapsed="false">
      <c r="A75" s="4" t="s">
        <v>436</v>
      </c>
      <c r="B75" s="13" t="s">
        <v>135</v>
      </c>
      <c r="K75" s="55" t="n">
        <f aca="false">-(K59-J59)</f>
        <v>-57.6803053115416</v>
      </c>
      <c r="L75" s="55" t="n">
        <f aca="false">-(L59-K59)</f>
        <v>-238.538090957773</v>
      </c>
      <c r="M75" s="55" t="n">
        <f aca="false">-(M59-L59)</f>
        <v>165.959529271347</v>
      </c>
      <c r="N75" s="55" t="n">
        <f aca="false">-(N59-M59)</f>
        <v>123.0088946429</v>
      </c>
      <c r="O75" s="55" t="n">
        <f aca="false">-(O59-N59)</f>
        <v>-58.5151054731205</v>
      </c>
      <c r="P75" s="55" t="n">
        <f aca="false">-(P59-O59)</f>
        <v>-241.990424224712</v>
      </c>
      <c r="R75" s="31" t="n">
        <f aca="false">SUM(E75:H75)</f>
        <v>0</v>
      </c>
      <c r="S75" s="55" t="n">
        <f aca="false">SUM(I75:L75)</f>
        <v>-296.218396269315</v>
      </c>
      <c r="T75" s="55" t="n">
        <f aca="false">SUM(M75:P75)</f>
        <v>-11.5371057835857</v>
      </c>
      <c r="U75" s="55" t="n">
        <f aca="false">-(U59-T59)</f>
        <v>1.14084843562489</v>
      </c>
      <c r="V75" s="55" t="n">
        <f aca="false">-(V59-U59)</f>
        <v>-7.81959270965069</v>
      </c>
    </row>
    <row r="76" customFormat="false" ht="15" hidden="false" customHeight="false" outlineLevel="0" collapsed="false">
      <c r="A76" s="4" t="s">
        <v>437</v>
      </c>
      <c r="B76" s="13" t="s">
        <v>135</v>
      </c>
      <c r="K76" s="55" t="n">
        <f aca="false">(K63-J63)</f>
        <v>26.0487327416013</v>
      </c>
      <c r="L76" s="55" t="n">
        <f aca="false">(L63-K63)</f>
        <v>97.9217666175689</v>
      </c>
      <c r="M76" s="55" t="n">
        <f aca="false">(M63-L63)</f>
        <v>93.0021072986349</v>
      </c>
      <c r="N76" s="55" t="n">
        <f aca="false">(N63-M63)</f>
        <v>-202.016042570301</v>
      </c>
      <c r="O76" s="55" t="n">
        <f aca="false">(O63-N63)</f>
        <v>26.4257329357604</v>
      </c>
      <c r="P76" s="55" t="n">
        <f aca="false">(P63-O63)</f>
        <v>99.3389766367066</v>
      </c>
      <c r="R76" s="31" t="n">
        <f aca="false">SUM(E76:H76)</f>
        <v>0</v>
      </c>
      <c r="S76" s="55" t="n">
        <f aca="false">SUM(I76:L76)</f>
        <v>123.97049935917</v>
      </c>
      <c r="T76" s="55" t="n">
        <f aca="false">SUM(M76:P76)</f>
        <v>16.7507743008005</v>
      </c>
      <c r="U76" s="55" t="n">
        <f aca="false">(U63-T63)</f>
        <v>1.5940934605951</v>
      </c>
      <c r="V76" s="55" t="n">
        <f aca="false">(V63-U63)</f>
        <v>11.4759484685189</v>
      </c>
    </row>
    <row r="77" customFormat="false" ht="15" hidden="false" customHeight="false" outlineLevel="0" collapsed="false">
      <c r="A77" s="4" t="s">
        <v>438</v>
      </c>
      <c r="B77" s="13" t="s">
        <v>135</v>
      </c>
      <c r="C77" s="31" t="n">
        <f aca="false">C78-C71-C72-C73</f>
        <v>187.026</v>
      </c>
      <c r="D77" s="31" t="n">
        <f aca="false">D78-D71-D72-D73</f>
        <v>201.307</v>
      </c>
      <c r="E77" s="31" t="n">
        <f aca="false">E78-E71-E72-E73</f>
        <v>-37.783</v>
      </c>
      <c r="F77" s="31" t="n">
        <f aca="false">F78-F71-F72-F73</f>
        <v>211.193</v>
      </c>
      <c r="G77" s="31" t="n">
        <f aca="false">G78-G71-G72-G73</f>
        <v>-520.394</v>
      </c>
      <c r="H77" s="31" t="n">
        <f aca="false">H78-H71-H72-H73</f>
        <v>382.632</v>
      </c>
      <c r="I77" s="31" t="n">
        <f aca="false">I78-I71-I72-I73</f>
        <v>-304.824</v>
      </c>
      <c r="J77" s="31" t="n">
        <f aca="false">J78-J71-J72-J73</f>
        <v>37.305</v>
      </c>
      <c r="K77" s="55" t="n">
        <f aca="false">0</f>
        <v>0</v>
      </c>
      <c r="L77" s="55" t="n">
        <f aca="false">0</f>
        <v>0</v>
      </c>
      <c r="M77" s="55" t="n">
        <f aca="false">0</f>
        <v>0</v>
      </c>
      <c r="N77" s="55" t="n">
        <f aca="false">0</f>
        <v>0</v>
      </c>
      <c r="O77" s="55" t="n">
        <f aca="false">0</f>
        <v>0</v>
      </c>
      <c r="P77" s="55" t="n">
        <f aca="false">0</f>
        <v>0</v>
      </c>
      <c r="R77" s="31" t="n">
        <f aca="false">SUM(E77:H77)</f>
        <v>35.6480000000001</v>
      </c>
      <c r="S77" s="55" t="n">
        <f aca="false">SUM(I77:L77)</f>
        <v>-267.519</v>
      </c>
      <c r="T77" s="55" t="n">
        <f aca="false">SUM(M77:P77)</f>
        <v>0</v>
      </c>
      <c r="U77" s="55" t="n">
        <f aca="false">0</f>
        <v>0</v>
      </c>
      <c r="V77" s="55" t="n">
        <f aca="false">0</f>
        <v>0</v>
      </c>
    </row>
    <row r="78" customFormat="false" ht="15" hidden="false" customHeight="false" outlineLevel="0" collapsed="false">
      <c r="A78" s="3" t="s">
        <v>439</v>
      </c>
      <c r="B78" s="13" t="s">
        <v>135</v>
      </c>
      <c r="C78" s="42" t="n">
        <f aca="false">Historicals!C56/1000</f>
        <v>353.013</v>
      </c>
      <c r="D78" s="42" t="n">
        <f aca="false">Historicals!D56/1000</f>
        <v>133.178</v>
      </c>
      <c r="E78" s="42" t="n">
        <f aca="false">Historicals!E56/1000</f>
        <v>141.534</v>
      </c>
      <c r="F78" s="42" t="n">
        <f aca="false">Historicals!F56/1000</f>
        <v>367.958</v>
      </c>
      <c r="G78" s="42" t="n">
        <f aca="false">Historicals!G56/1000</f>
        <v>-92.589</v>
      </c>
      <c r="H78" s="42" t="n">
        <f aca="false">Historicals!H56/1000</f>
        <v>152.019</v>
      </c>
      <c r="I78" s="42" t="n">
        <f aca="false">Historicals!I56/1000</f>
        <v>-228.021</v>
      </c>
      <c r="J78" s="42" t="n">
        <f aca="false">Historicals!J56/1000</f>
        <v>168.336</v>
      </c>
      <c r="K78" s="56" t="n">
        <f aca="false">SUM(K71:K77)</f>
        <v>24.8743400845386</v>
      </c>
      <c r="L78" s="56" t="n">
        <f aca="false">SUM(L71:L77)</f>
        <v>-84.3909270192292</v>
      </c>
      <c r="M78" s="56" t="n">
        <f aca="false">SUM(M71:M77)</f>
        <v>307.171787009088</v>
      </c>
      <c r="N78" s="56" t="n">
        <f aca="false">SUM(N71:N77)</f>
        <v>33.2785392717236</v>
      </c>
      <c r="O78" s="56" t="n">
        <f aca="false">SUM(O71:O77)</f>
        <v>30.4775069018429</v>
      </c>
      <c r="P78" s="56" t="n">
        <f aca="false">SUM(P71:P77)</f>
        <v>-83.2124079434124</v>
      </c>
      <c r="R78" s="42" t="n">
        <f aca="false">SUM(E78:H78)</f>
        <v>568.922</v>
      </c>
      <c r="S78" s="56" t="n">
        <f aca="false">SUM(I78:L78)</f>
        <v>-119.201586934691</v>
      </c>
      <c r="T78" s="56" t="n">
        <f aca="false">SUM(M78:P78)</f>
        <v>287.715425239242</v>
      </c>
      <c r="U78" s="56" t="n">
        <f aca="false">SUM(U71:U77)</f>
        <v>268.471082637358</v>
      </c>
      <c r="V78" s="56" t="n">
        <f aca="false">SUM(V71:V77)</f>
        <v>261.718548740776</v>
      </c>
    </row>
    <row r="79" customFormat="false" ht="15" hidden="false" customHeight="false" outlineLevel="0" collapsed="false">
      <c r="A79" s="4" t="s">
        <v>96</v>
      </c>
      <c r="B79" s="13" t="s">
        <v>135</v>
      </c>
      <c r="C79" s="31" t="n">
        <f aca="false">Historicals!C59/1000</f>
        <v>-52.589</v>
      </c>
      <c r="D79" s="31" t="n">
        <f aca="false">Historicals!D59/1000</f>
        <v>-56.139</v>
      </c>
      <c r="E79" s="31" t="n">
        <f aca="false">Historicals!E59/1000</f>
        <v>-29.973</v>
      </c>
      <c r="F79" s="31" t="n">
        <f aca="false">Historicals!F59/1000</f>
        <v>-35.587</v>
      </c>
      <c r="G79" s="31" t="n">
        <f aca="false">Historicals!G59/1000</f>
        <v>-36.53</v>
      </c>
      <c r="H79" s="31" t="n">
        <f aca="false">Historicals!H59/1000</f>
        <v>-51.589</v>
      </c>
      <c r="I79" s="31" t="n">
        <f aca="false">Historicals!I59/1000</f>
        <v>-31.792</v>
      </c>
      <c r="J79" s="31" t="n">
        <f aca="false">Historicals!J59/1000</f>
        <v>-12.902</v>
      </c>
      <c r="K79" s="55" t="n">
        <f aca="false">-(Inputs!$E$36+I79+J79)/2</f>
        <v>-72.653</v>
      </c>
      <c r="L79" s="55" t="n">
        <f aca="false">-(Inputs!$E$36+I79+J79)/2</f>
        <v>-72.653</v>
      </c>
      <c r="M79" s="55" t="n">
        <f aca="false">-Inputs!$E$37/4</f>
        <v>-46.25</v>
      </c>
      <c r="N79" s="55" t="n">
        <f aca="false">-Inputs!$E$37/4</f>
        <v>-46.25</v>
      </c>
      <c r="O79" s="55" t="n">
        <f aca="false">-Inputs!$E$37/4</f>
        <v>-46.25</v>
      </c>
      <c r="P79" s="55" t="n">
        <f aca="false">-Inputs!$E$37/4</f>
        <v>-46.25</v>
      </c>
      <c r="R79" s="31" t="n">
        <f aca="false">SUM(E79:H79)</f>
        <v>-153.679</v>
      </c>
      <c r="S79" s="55" t="n">
        <f aca="false">SUM(I79:L79)</f>
        <v>-190</v>
      </c>
      <c r="T79" s="55" t="n">
        <f aca="false">SUM(M79:P79)</f>
        <v>-185</v>
      </c>
      <c r="U79" s="55" t="n">
        <f aca="false">-Inputs!$E$37</f>
        <v>-185</v>
      </c>
      <c r="V79" s="55" t="n">
        <f aca="false">-Inputs!$E$37</f>
        <v>-185</v>
      </c>
    </row>
    <row r="80" customFormat="false" ht="15" hidden="false" customHeight="false" outlineLevel="0" collapsed="false">
      <c r="A80" s="4" t="s">
        <v>440</v>
      </c>
      <c r="B80" s="13" t="s">
        <v>135</v>
      </c>
      <c r="K80" s="55" t="n">
        <f aca="false">-(K58-J58)</f>
        <v>-0</v>
      </c>
      <c r="L80" s="55" t="n">
        <f aca="false">-(L58-K58)</f>
        <v>-0</v>
      </c>
      <c r="M80" s="55" t="n">
        <f aca="false">-(M58-L58)</f>
        <v>-0</v>
      </c>
      <c r="N80" s="55" t="n">
        <f aca="false">-(N58-M58)</f>
        <v>-0</v>
      </c>
      <c r="O80" s="55" t="n">
        <f aca="false">-(O58-N58)</f>
        <v>-0</v>
      </c>
      <c r="P80" s="55" t="n">
        <f aca="false">-(P58-O58)</f>
        <v>-0</v>
      </c>
      <c r="R80" s="31" t="n">
        <f aca="false">SUM(E80:H80)</f>
        <v>0</v>
      </c>
      <c r="S80" s="55" t="n">
        <f aca="false">SUM(I80:L80)</f>
        <v>0</v>
      </c>
      <c r="T80" s="55" t="n">
        <f aca="false">SUM(M80:P80)</f>
        <v>0</v>
      </c>
      <c r="U80" s="55" t="n">
        <f aca="false">-(U58-T58)</f>
        <v>-0</v>
      </c>
      <c r="V80" s="55" t="n">
        <f aca="false">-(V58-U58)</f>
        <v>-0</v>
      </c>
    </row>
    <row r="81" customFormat="false" ht="15" hidden="false" customHeight="false" outlineLevel="0" collapsed="false">
      <c r="A81" s="3" t="s">
        <v>441</v>
      </c>
      <c r="B81" s="13" t="s">
        <v>135</v>
      </c>
      <c r="C81" s="42" t="n">
        <f aca="false">Historicals!C60/1000</f>
        <v>-89.148</v>
      </c>
      <c r="D81" s="42" t="n">
        <f aca="false">Historicals!D60/1000</f>
        <v>102.847</v>
      </c>
      <c r="E81" s="42" t="n">
        <f aca="false">Historicals!E60/1000</f>
        <v>61.395</v>
      </c>
      <c r="F81" s="42" t="n">
        <f aca="false">Historicals!F60/1000</f>
        <v>-151.249</v>
      </c>
      <c r="G81" s="42" t="n">
        <f aca="false">Historicals!G60/1000</f>
        <v>295.331</v>
      </c>
      <c r="H81" s="42" t="n">
        <f aca="false">Historicals!H60/1000</f>
        <v>3573.298</v>
      </c>
      <c r="I81" s="42" t="n">
        <f aca="false">Historicals!I60/1000</f>
        <v>-92.004</v>
      </c>
      <c r="J81" s="42" t="n">
        <f aca="false">Historicals!J60/1000</f>
        <v>-174.734</v>
      </c>
      <c r="K81" s="56" t="n">
        <f aca="false">K79+K80</f>
        <v>-72.653</v>
      </c>
      <c r="L81" s="56" t="n">
        <f aca="false">L79+L80</f>
        <v>-72.653</v>
      </c>
      <c r="M81" s="56" t="n">
        <f aca="false">M79+M80</f>
        <v>-46.25</v>
      </c>
      <c r="N81" s="56" t="n">
        <f aca="false">N79+N80</f>
        <v>-46.25</v>
      </c>
      <c r="O81" s="56" t="n">
        <f aca="false">O79+O80</f>
        <v>-46.25</v>
      </c>
      <c r="P81" s="56" t="n">
        <f aca="false">P79+P80</f>
        <v>-46.25</v>
      </c>
      <c r="R81" s="42" t="n">
        <f aca="false">SUM(E81:H81)</f>
        <v>3778.775</v>
      </c>
      <c r="S81" s="56" t="n">
        <f aca="false">SUM(I81:L81)</f>
        <v>-412.044</v>
      </c>
      <c r="T81" s="56" t="n">
        <f aca="false">SUM(M81:P81)</f>
        <v>-185</v>
      </c>
      <c r="U81" s="56" t="n">
        <f aca="false">U79+U80</f>
        <v>-185</v>
      </c>
      <c r="V81" s="56" t="n">
        <f aca="false">V79+V80</f>
        <v>-185</v>
      </c>
    </row>
    <row r="82" customFormat="false" ht="15" hidden="false" customHeight="false" outlineLevel="0" collapsed="false">
      <c r="A82" s="4" t="s">
        <v>442</v>
      </c>
      <c r="B82" s="13" t="s">
        <v>135</v>
      </c>
      <c r="K82" s="55" t="n">
        <f aca="false">(K64-J64)</f>
        <v>0</v>
      </c>
      <c r="L82" s="55" t="n">
        <f aca="false">(L64-K64)</f>
        <v>0</v>
      </c>
      <c r="M82" s="55" t="n">
        <f aca="false">(M64-L64)</f>
        <v>0</v>
      </c>
      <c r="N82" s="55" t="n">
        <f aca="false">(N64-M64)</f>
        <v>0</v>
      </c>
      <c r="O82" s="55" t="n">
        <f aca="false">(O64-N64)</f>
        <v>0</v>
      </c>
      <c r="P82" s="55" t="n">
        <f aca="false">(P64-O64)</f>
        <v>0</v>
      </c>
      <c r="R82" s="31" t="n">
        <f aca="false">SUM(E82:H82)</f>
        <v>0</v>
      </c>
      <c r="S82" s="55" t="n">
        <f aca="false">SUM(I82:L82)</f>
        <v>0</v>
      </c>
      <c r="T82" s="55" t="n">
        <f aca="false">SUM(M82:P82)</f>
        <v>0</v>
      </c>
      <c r="U82" s="55" t="n">
        <f aca="false">(U64-T64)</f>
        <v>0</v>
      </c>
      <c r="V82" s="55" t="n">
        <f aca="false">(V64-U64)</f>
        <v>0</v>
      </c>
    </row>
    <row r="83" customFormat="false" ht="15" hidden="false" customHeight="false" outlineLevel="0" collapsed="false">
      <c r="A83" s="4" t="s">
        <v>307</v>
      </c>
      <c r="B83" s="13" t="s">
        <v>135</v>
      </c>
      <c r="C83" s="31" t="n">
        <f aca="false">Historicals!C61/1000</f>
        <v>-22.095</v>
      </c>
      <c r="D83" s="31" t="n">
        <f aca="false">Historicals!D61/1000</f>
        <v>-21.77</v>
      </c>
      <c r="E83" s="31" t="n">
        <f aca="false">Historicals!E61/1000</f>
        <v>-22.921</v>
      </c>
      <c r="F83" s="31" t="n">
        <f aca="false">Historicals!F61/1000</f>
        <v>-21.835</v>
      </c>
      <c r="G83" s="31" t="n">
        <f aca="false">Historicals!G61/1000</f>
        <v>-21.532</v>
      </c>
      <c r="H83" s="31" t="n">
        <f aca="false">Historicals!H61/1000</f>
        <v>-20.1</v>
      </c>
      <c r="I83" s="31" t="n">
        <f aca="false">Historicals!I61/1000</f>
        <v>-21.54</v>
      </c>
      <c r="J83" s="31" t="n">
        <f aca="false">Historicals!J61/1000</f>
        <v>-19.671</v>
      </c>
      <c r="K83" s="55" t="n">
        <f aca="false">-K45*K42</f>
        <v>-20.078206864564</v>
      </c>
      <c r="L83" s="55" t="n">
        <f aca="false">-L45*L42</f>
        <v>-19.799913729128</v>
      </c>
      <c r="M83" s="55" t="n">
        <f aca="false">-M45*M42</f>
        <v>-20.3024854174397</v>
      </c>
      <c r="N83" s="55" t="n">
        <f aca="false">-N45*N42</f>
        <v>-20.0130605565863</v>
      </c>
      <c r="O83" s="55" t="n">
        <f aca="false">-O45*O42</f>
        <v>-19.7236356957328</v>
      </c>
      <c r="P83" s="55" t="n">
        <f aca="false">-P45*P42</f>
        <v>-19.4342108348794</v>
      </c>
      <c r="R83" s="31" t="n">
        <f aca="false">SUM(E83:H83)</f>
        <v>-86.388</v>
      </c>
      <c r="S83" s="55" t="n">
        <f aca="false">SUM(I83:L83)</f>
        <v>-81.089120593692</v>
      </c>
      <c r="T83" s="55" t="n">
        <f aca="false">SUM(M83:P83)</f>
        <v>-79.4733925046382</v>
      </c>
      <c r="U83" s="55" t="n">
        <f aca="false">-U45*U42</f>
        <v>-77.8362985202226</v>
      </c>
      <c r="V83" s="55" t="n">
        <f aca="false">-V45*V42</f>
        <v>-75.9410795890464</v>
      </c>
    </row>
    <row r="84" customFormat="false" ht="15" hidden="false" customHeight="false" outlineLevel="0" collapsed="false">
      <c r="A84" s="4" t="s">
        <v>443</v>
      </c>
      <c r="B84" s="13" t="s">
        <v>135</v>
      </c>
      <c r="C84" s="31" t="n">
        <f aca="false">Historicals!C62/1000</f>
        <v>-150.135</v>
      </c>
      <c r="D84" s="31" t="n">
        <f aca="false">Historicals!D62/1000</f>
        <v>-100.019</v>
      </c>
      <c r="E84" s="31" t="n">
        <f aca="false">Historicals!E62/1000</f>
        <v>-93.095</v>
      </c>
      <c r="F84" s="31" t="n">
        <f aca="false">Historicals!F62/1000</f>
        <v>-0.045</v>
      </c>
      <c r="G84" s="31" t="n">
        <f aca="false">Historicals!G62/1000</f>
        <v>-100.069</v>
      </c>
      <c r="H84" s="31" t="n">
        <f aca="false">Historicals!H62/1000</f>
        <v>-160.061</v>
      </c>
      <c r="I84" s="31" t="n">
        <f aca="false">Historicals!I62/1000</f>
        <v>-70.018</v>
      </c>
      <c r="J84" s="31" t="n">
        <f aca="false">Historicals!J62/1000</f>
        <v>-30.37</v>
      </c>
      <c r="K84" s="55" t="n">
        <f aca="false">-Inputs!$E$92</f>
        <v>-40</v>
      </c>
      <c r="L84" s="55" t="n">
        <f aca="false">-Inputs!$E$92</f>
        <v>-40</v>
      </c>
      <c r="M84" s="55" t="n">
        <f aca="false">-Inputs!$E$92</f>
        <v>-40</v>
      </c>
      <c r="N84" s="55" t="n">
        <f aca="false">-Inputs!$E$92</f>
        <v>-40</v>
      </c>
      <c r="O84" s="55" t="n">
        <f aca="false">-Inputs!$E$92</f>
        <v>-40</v>
      </c>
      <c r="P84" s="55" t="n">
        <f aca="false">-Inputs!$E$92</f>
        <v>-40</v>
      </c>
      <c r="R84" s="31" t="n">
        <f aca="false">SUM(E84:H84)</f>
        <v>-353.27</v>
      </c>
      <c r="S84" s="55" t="n">
        <f aca="false">SUM(I84:L84)</f>
        <v>-180.388</v>
      </c>
      <c r="T84" s="55" t="n">
        <f aca="false">SUM(M84:P84)</f>
        <v>-160</v>
      </c>
      <c r="U84" s="55" t="n">
        <f aca="false">-4*Inputs!$E$92</f>
        <v>-160</v>
      </c>
      <c r="V84" s="55" t="n">
        <f aca="false">-4*Inputs!$E$92</f>
        <v>-160</v>
      </c>
    </row>
    <row r="85" customFormat="false" ht="15" hidden="false" customHeight="false" outlineLevel="0" collapsed="false">
      <c r="A85" s="3" t="s">
        <v>444</v>
      </c>
      <c r="B85" s="13" t="s">
        <v>135</v>
      </c>
      <c r="C85" s="42" t="n">
        <f aca="false">Historicals!C63/1000</f>
        <v>131.462</v>
      </c>
      <c r="D85" s="42" t="n">
        <f aca="false">Historicals!D63/1000</f>
        <v>-885.775</v>
      </c>
      <c r="E85" s="42" t="n">
        <f aca="false">Historicals!E63/1000</f>
        <v>150.185</v>
      </c>
      <c r="F85" s="42" t="n">
        <f aca="false">Historicals!F63/1000</f>
        <v>-566.704</v>
      </c>
      <c r="G85" s="42" t="n">
        <f aca="false">Historicals!G63/1000</f>
        <v>-131.156</v>
      </c>
      <c r="H85" s="42" t="n">
        <f aca="false">Historicals!H63/1000</f>
        <v>-2462.625</v>
      </c>
      <c r="I85" s="42" t="n">
        <f aca="false">Historicals!I63/1000</f>
        <v>-959.337</v>
      </c>
      <c r="J85" s="42" t="n">
        <f aca="false">Historicals!J63/1000</f>
        <v>100.433</v>
      </c>
      <c r="K85" s="56" t="n">
        <f aca="false">SUM(K82:K84)</f>
        <v>-60.078206864564</v>
      </c>
      <c r="L85" s="56" t="n">
        <f aca="false">SUM(L82:L84)</f>
        <v>-59.799913729128</v>
      </c>
      <c r="M85" s="56" t="n">
        <f aca="false">SUM(M82:M84)</f>
        <v>-60.3024854174397</v>
      </c>
      <c r="N85" s="56" t="n">
        <f aca="false">SUM(N82:N84)</f>
        <v>-60.0130605565863</v>
      </c>
      <c r="O85" s="56" t="n">
        <f aca="false">SUM(O82:O84)</f>
        <v>-59.7236356957328</v>
      </c>
      <c r="P85" s="56" t="n">
        <f aca="false">SUM(P82:P84)</f>
        <v>-59.4342108348794</v>
      </c>
      <c r="R85" s="42" t="n">
        <f aca="false">SUM(E85:H85)</f>
        <v>-3010.3</v>
      </c>
      <c r="S85" s="56" t="n">
        <f aca="false">SUM(I85:L85)</f>
        <v>-978.782120593692</v>
      </c>
      <c r="T85" s="56" t="n">
        <f aca="false">SUM(M85:P85)</f>
        <v>-239.473392504638</v>
      </c>
      <c r="U85" s="56" t="n">
        <f aca="false">SUM(U82:U84)</f>
        <v>-237.836298520223</v>
      </c>
      <c r="V85" s="56" t="n">
        <f aca="false">SUM(V82:V84)</f>
        <v>-235.941079589046</v>
      </c>
    </row>
    <row r="86" customFormat="false" ht="15" hidden="false" customHeight="false" outlineLevel="0" collapsed="false">
      <c r="A86" s="4" t="s">
        <v>445</v>
      </c>
      <c r="B86" s="13" t="s">
        <v>135</v>
      </c>
      <c r="C86" s="31" t="n">
        <f aca="false">Historicals!C64/1000</f>
        <v>11.019</v>
      </c>
      <c r="D86" s="31" t="n">
        <f aca="false">Historicals!D64/1000</f>
        <v>-16.343</v>
      </c>
      <c r="E86" s="31" t="n">
        <f aca="false">Historicals!E64/1000</f>
        <v>3.299</v>
      </c>
      <c r="F86" s="31" t="n">
        <f aca="false">Historicals!F64/1000</f>
        <v>9.076</v>
      </c>
      <c r="G86" s="31" t="n">
        <f aca="false">Historicals!G64/1000</f>
        <v>-1.366</v>
      </c>
      <c r="H86" s="31" t="n">
        <f aca="false">Historicals!H64/1000</f>
        <v>2.484</v>
      </c>
      <c r="I86" s="31" t="n">
        <f aca="false">Historicals!I64/1000</f>
        <v>-7.314</v>
      </c>
      <c r="J86" s="31" t="n">
        <f aca="false">Historicals!J64/1000</f>
        <v>-3.314</v>
      </c>
      <c r="K86" s="55" t="n">
        <f aca="false">0</f>
        <v>0</v>
      </c>
      <c r="L86" s="55" t="n">
        <f aca="false">0</f>
        <v>0</v>
      </c>
      <c r="M86" s="55" t="n">
        <f aca="false">0</f>
        <v>0</v>
      </c>
      <c r="N86" s="55" t="n">
        <f aca="false">0</f>
        <v>0</v>
      </c>
      <c r="O86" s="55" t="n">
        <f aca="false">0</f>
        <v>0</v>
      </c>
      <c r="P86" s="55" t="n">
        <f aca="false">0</f>
        <v>0</v>
      </c>
      <c r="R86" s="31" t="n">
        <f aca="false">SUM(E86:H86)</f>
        <v>13.493</v>
      </c>
      <c r="S86" s="55" t="n">
        <f aca="false">SUM(I86:L86)</f>
        <v>-10.628</v>
      </c>
      <c r="T86" s="55" t="n">
        <f aca="false">SUM(M86:P86)</f>
        <v>0</v>
      </c>
      <c r="U86" s="55" t="n">
        <f aca="false">0</f>
        <v>0</v>
      </c>
      <c r="V86" s="55" t="n">
        <f aca="false">0</f>
        <v>0</v>
      </c>
    </row>
    <row r="87" customFormat="false" ht="15" hidden="false" customHeight="false" outlineLevel="0" collapsed="false">
      <c r="A87" s="3" t="s">
        <v>446</v>
      </c>
      <c r="B87" s="13" t="s">
        <v>135</v>
      </c>
      <c r="C87" s="42" t="n">
        <f aca="false">C78+C81+C85+C86</f>
        <v>406.346</v>
      </c>
      <c r="D87" s="42" t="n">
        <f aca="false">D78+D81+D85+D86</f>
        <v>-666.093</v>
      </c>
      <c r="E87" s="42" t="n">
        <f aca="false">E78+E81+E85+E86</f>
        <v>356.413</v>
      </c>
      <c r="F87" s="42" t="n">
        <f aca="false">F78+F81+F85+F86</f>
        <v>-340.919</v>
      </c>
      <c r="G87" s="42" t="n">
        <f aca="false">G78+G81+G85+G86</f>
        <v>70.22</v>
      </c>
      <c r="H87" s="42" t="n">
        <f aca="false">H78+H81+H85+H86</f>
        <v>1265.176</v>
      </c>
      <c r="I87" s="42" t="n">
        <f aca="false">I78+I81+I85+I86</f>
        <v>-1286.676</v>
      </c>
      <c r="J87" s="42" t="n">
        <f aca="false">J78+J81+J85+J86</f>
        <v>90.721</v>
      </c>
      <c r="K87" s="56" t="n">
        <f aca="false">K78+K81+K85+K86</f>
        <v>-107.856866780025</v>
      </c>
      <c r="L87" s="56" t="n">
        <f aca="false">L78+L81+L85+L86</f>
        <v>-216.843840748357</v>
      </c>
      <c r="M87" s="56" t="n">
        <f aca="false">M78+M81+M85+M86</f>
        <v>200.619301591648</v>
      </c>
      <c r="N87" s="56" t="n">
        <f aca="false">N78+N81+N85+N86</f>
        <v>-72.9845212848626</v>
      </c>
      <c r="O87" s="56" t="n">
        <f aca="false">O78+O81+O85+O86</f>
        <v>-75.4961287938899</v>
      </c>
      <c r="P87" s="56" t="n">
        <f aca="false">P78+P81+P85+P86</f>
        <v>-188.896618778292</v>
      </c>
      <c r="R87" s="42" t="n">
        <f aca="false">SUM(E87:H87)</f>
        <v>1350.89</v>
      </c>
      <c r="S87" s="56" t="n">
        <f aca="false">SUM(I87:L87)</f>
        <v>-1520.65570752838</v>
      </c>
      <c r="T87" s="56" t="n">
        <f aca="false">SUM(M87:P87)</f>
        <v>-136.757967265396</v>
      </c>
      <c r="U87" s="56" t="n">
        <f aca="false">U78+U81+U85+U86</f>
        <v>-154.365215882865</v>
      </c>
      <c r="V87" s="56" t="n">
        <f aca="false">V78+V81+V85+V86</f>
        <v>-159.222530848271</v>
      </c>
    </row>
    <row r="88" customFormat="false" ht="15" hidden="false" customHeight="false" outlineLevel="0" collapsed="false">
      <c r="A88" s="3" t="s">
        <v>447</v>
      </c>
      <c r="B88" s="13" t="s">
        <v>135</v>
      </c>
      <c r="C88" s="42" t="n">
        <f aca="false">C78+C79</f>
        <v>300.424</v>
      </c>
      <c r="D88" s="42" t="n">
        <f aca="false">D78+D79</f>
        <v>77.039</v>
      </c>
      <c r="E88" s="42" t="n">
        <f aca="false">E78+E79</f>
        <v>111.561</v>
      </c>
      <c r="F88" s="42" t="n">
        <f aca="false">F78+F79</f>
        <v>332.371</v>
      </c>
      <c r="G88" s="42" t="n">
        <f aca="false">G78+G79</f>
        <v>-129.119</v>
      </c>
      <c r="H88" s="42" t="n">
        <f aca="false">H78+H79</f>
        <v>100.43</v>
      </c>
      <c r="I88" s="42" t="n">
        <f aca="false">I78+I79</f>
        <v>-259.813</v>
      </c>
      <c r="J88" s="42" t="n">
        <f aca="false">J78+J79</f>
        <v>155.434</v>
      </c>
      <c r="K88" s="56" t="n">
        <f aca="false">K78+K79</f>
        <v>-47.7786599154614</v>
      </c>
      <c r="L88" s="56" t="n">
        <f aca="false">L78+L79</f>
        <v>-157.043927019229</v>
      </c>
      <c r="M88" s="56" t="n">
        <f aca="false">M78+M79</f>
        <v>260.921787009088</v>
      </c>
      <c r="N88" s="56" t="n">
        <f aca="false">N78+N79</f>
        <v>-12.9714607282764</v>
      </c>
      <c r="O88" s="56" t="n">
        <f aca="false">O78+O79</f>
        <v>-15.7724930981571</v>
      </c>
      <c r="P88" s="56" t="n">
        <f aca="false">P78+P79</f>
        <v>-129.462407943412</v>
      </c>
      <c r="R88" s="42" t="n">
        <f aca="false">SUM(E88:H88)</f>
        <v>415.243</v>
      </c>
      <c r="S88" s="56" t="n">
        <f aca="false">SUM(I88:L88)</f>
        <v>-309.201586934691</v>
      </c>
      <c r="T88" s="56" t="n">
        <f aca="false">SUM(M88:P88)</f>
        <v>102.715425239242</v>
      </c>
      <c r="U88" s="56" t="n">
        <f aca="false">U78+U79</f>
        <v>83.4710826373576</v>
      </c>
      <c r="V88" s="56" t="n">
        <f aca="false">V78+V79</f>
        <v>76.7185487407759</v>
      </c>
    </row>
    <row r="90" customFormat="false" ht="15" hidden="false" customHeight="false" outlineLevel="0" collapsed="false">
      <c r="A90" s="16" t="s">
        <v>448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R90" s="17"/>
      <c r="S90" s="17"/>
      <c r="T90" s="17"/>
      <c r="U90" s="17"/>
      <c r="V90" s="17"/>
    </row>
    <row r="91" customFormat="false" ht="15" hidden="false" customHeight="false" outlineLevel="0" collapsed="false">
      <c r="A91" s="4" t="s">
        <v>449</v>
      </c>
      <c r="B91" s="13" t="s">
        <v>135</v>
      </c>
      <c r="R91" s="31" t="n">
        <f aca="false">R33*(1-Inputs!$E$29)</f>
        <v>297.70895</v>
      </c>
      <c r="S91" s="55" t="n">
        <f aca="false">S33*(1-Inputs!$E$29)</f>
        <v>2.99037724010675</v>
      </c>
      <c r="T91" s="55" t="n">
        <f aca="false">T33*(1-Inputs!$E$29)</f>
        <v>24.4733415200459</v>
      </c>
      <c r="U91" s="55" t="n">
        <f aca="false">U33*(1-Inputs!$E$29)</f>
        <v>1.66536863079538</v>
      </c>
      <c r="V91" s="55" t="n">
        <f aca="false">V33*(1-Inputs!$E$29)</f>
        <v>-2.18018296071038</v>
      </c>
    </row>
    <row r="92" customFormat="false" ht="15" hidden="false" customHeight="false" outlineLevel="0" collapsed="false">
      <c r="A92" s="4" t="s">
        <v>450</v>
      </c>
      <c r="B92" s="13" t="s">
        <v>135</v>
      </c>
      <c r="C92" s="31" t="n">
        <f aca="false">C66+C64-C56</f>
        <v>9010.345</v>
      </c>
      <c r="D92" s="31" t="n">
        <f aca="false">D66+D64-D56</f>
        <v>8566.712</v>
      </c>
      <c r="E92" s="31" t="n">
        <f aca="false">E66+E64-E56</f>
        <v>8571.62</v>
      </c>
      <c r="F92" s="31" t="n">
        <f aca="false">F66+F64-F56</f>
        <v>8668.322</v>
      </c>
      <c r="G92" s="31" t="n">
        <f aca="false">G66+G64-G56</f>
        <v>7189.299</v>
      </c>
      <c r="H92" s="31" t="n">
        <f aca="false">H66+H64-H56</f>
        <v>3312.218</v>
      </c>
      <c r="I92" s="31" t="n">
        <f aca="false">I66+I64-I56</f>
        <v>3655.505</v>
      </c>
      <c r="J92" s="31" t="n">
        <f aca="false">J66+J64-J56</f>
        <v>3729.105</v>
      </c>
      <c r="K92" s="55" t="n">
        <f aca="false">K66+K64-K56</f>
        <v>3821.26051731477</v>
      </c>
      <c r="L92" s="55" t="n">
        <f aca="false">L66+L64-L56</f>
        <v>3905.0958841748</v>
      </c>
      <c r="M92" s="55" t="n">
        <f aca="false">M66+M64-M56</f>
        <v>3693.08140694494</v>
      </c>
      <c r="N92" s="55" t="n">
        <f aca="false">N66+N64-N56</f>
        <v>3791.57214990488</v>
      </c>
      <c r="O92" s="55" t="n">
        <f aca="false">O66+O64-O56</f>
        <v>3858.22925867893</v>
      </c>
      <c r="P92" s="55" t="n">
        <f aca="false">P66+P64-P56</f>
        <v>3916.4458004556</v>
      </c>
      <c r="R92" s="31" t="n">
        <f aca="false">R66+R64-R56</f>
        <v>3312.218</v>
      </c>
      <c r="S92" s="55" t="n">
        <f aca="false">S66+S64-S56</f>
        <v>3905.0958841748</v>
      </c>
      <c r="T92" s="55" t="n">
        <f aca="false">T66+T64-T56</f>
        <v>3916.4458004556</v>
      </c>
      <c r="U92" s="55" t="n">
        <f aca="false">U66+U64-U56</f>
        <v>3924.23208644904</v>
      </c>
      <c r="V92" s="55" t="n">
        <f aca="false">V66+V64-V56</f>
        <v>3934.92535474755</v>
      </c>
    </row>
    <row r="93" customFormat="false" ht="15" hidden="false" customHeight="false" outlineLevel="0" collapsed="false">
      <c r="A93" s="4" t="s">
        <v>451</v>
      </c>
      <c r="B93" s="13" t="s">
        <v>73</v>
      </c>
      <c r="R93" s="30" t="n">
        <f aca="false">R91/AVERAGE(D92,R92)</f>
        <v>0.0501238663751701</v>
      </c>
      <c r="S93" s="51" t="n">
        <f aca="false">S91/AVERAGE(R92,S92)</f>
        <v>0.000828667642310436</v>
      </c>
      <c r="T93" s="51" t="n">
        <f aca="false">T91/AVERAGE(S92,T92)</f>
        <v>0.00625793290039913</v>
      </c>
      <c r="U93" s="51" t="n">
        <f aca="false">U91/AVERAGE(T92,U92)</f>
        <v>0.000424802205833974</v>
      </c>
      <c r="V93" s="51" t="n">
        <f aca="false">V91/AVERAGE(U92,V92)</f>
        <v>-0.000554813407677054</v>
      </c>
    </row>
    <row r="94" customFormat="false" ht="15" hidden="false" customHeight="false" outlineLevel="0" collapsed="false">
      <c r="A94" s="4" t="s">
        <v>452</v>
      </c>
      <c r="B94" s="13" t="s">
        <v>135</v>
      </c>
      <c r="R94" s="31" t="n">
        <f aca="false">R26*(1-Inputs!$E$29)</f>
        <v>-22.1221000000001</v>
      </c>
      <c r="S94" s="55" t="n">
        <f aca="false">S26*(1-Inputs!$E$29)</f>
        <v>14.5403772401068</v>
      </c>
      <c r="T94" s="55" t="n">
        <f aca="false">T26*(1-Inputs!$E$29)</f>
        <v>24.4733415200459</v>
      </c>
      <c r="U94" s="55" t="n">
        <f aca="false">U26*(1-Inputs!$E$29)</f>
        <v>-9.88463136920463</v>
      </c>
      <c r="V94" s="55" t="n">
        <f aca="false">V26*(1-Inputs!$E$29)</f>
        <v>-22.9701829607104</v>
      </c>
    </row>
    <row r="95" customFormat="false" ht="15" hidden="false" customHeight="false" outlineLevel="0" collapsed="false">
      <c r="A95" s="4" t="s">
        <v>453</v>
      </c>
      <c r="B95" s="13" t="s">
        <v>135</v>
      </c>
      <c r="C95" s="31" t="n">
        <f aca="false">C57+C59+C61-C63</f>
        <v>1694.481</v>
      </c>
      <c r="D95" s="31" t="n">
        <f aca="false">D57+D59+D61-D63</f>
        <v>1715.574</v>
      </c>
      <c r="E95" s="31" t="n">
        <f aca="false">E57+E59+E61-E63</f>
        <v>1541.978</v>
      </c>
      <c r="F95" s="31" t="n">
        <f aca="false">F57+F59+F61-F63</f>
        <v>1618.901</v>
      </c>
      <c r="G95" s="31" t="n">
        <f aca="false">G57+G59+G61-G63</f>
        <v>1506.527</v>
      </c>
      <c r="H95" s="31" t="n">
        <f aca="false">H57+H59+H61-H63</f>
        <v>1634.27</v>
      </c>
      <c r="I95" s="31" t="n">
        <f aca="false">I57+I59+I61-I63</f>
        <v>1351.335</v>
      </c>
      <c r="J95" s="31" t="n">
        <f aca="false">J57+J59+J61-J63</f>
        <v>1421.056</v>
      </c>
      <c r="K95" s="55" t="n">
        <f aca="false">K57+K59+K61-K63</f>
        <v>1513.21151731477</v>
      </c>
      <c r="L95" s="55" t="n">
        <f aca="false">L57+L59+L61-L63</f>
        <v>1597.0468841748</v>
      </c>
      <c r="M95" s="55" t="n">
        <f aca="false">M57+M59+M61-M63</f>
        <v>1385.03240694494</v>
      </c>
      <c r="N95" s="55" t="n">
        <f aca="false">N57+N59+N61-N63</f>
        <v>1483.52314990488</v>
      </c>
      <c r="O95" s="55" t="n">
        <f aca="false">O57+O59+O61-O63</f>
        <v>1550.18025867893</v>
      </c>
      <c r="P95" s="55" t="n">
        <f aca="false">P57+P59+P61-P63</f>
        <v>1608.3968004556</v>
      </c>
      <c r="R95" s="31" t="n">
        <f aca="false">R57+R59+R61-R63</f>
        <v>1634.27</v>
      </c>
      <c r="S95" s="55" t="n">
        <f aca="false">S57+S59+S61-S63</f>
        <v>1597.0468841748</v>
      </c>
      <c r="T95" s="55" t="n">
        <f aca="false">T57+T59+T61-T63</f>
        <v>1608.3968004556</v>
      </c>
      <c r="U95" s="55" t="n">
        <f aca="false">U57+U59+U61-U63</f>
        <v>1616.18308644904</v>
      </c>
      <c r="V95" s="55" t="n">
        <f aca="false">V57+V59+V61-V63</f>
        <v>1626.87635474755</v>
      </c>
    </row>
    <row r="96" customFormat="false" ht="15" hidden="false" customHeight="false" outlineLevel="0" collapsed="false">
      <c r="A96" s="4" t="s">
        <v>454</v>
      </c>
      <c r="B96" s="13" t="s">
        <v>73</v>
      </c>
      <c r="R96" s="30" t="n">
        <f aca="false">R94/R95</f>
        <v>-0.0135363801575016</v>
      </c>
      <c r="S96" s="51" t="n">
        <f aca="false">S94/S95</f>
        <v>0.00910454000079017</v>
      </c>
      <c r="T96" s="51" t="n">
        <f aca="false">T94/T95</f>
        <v>0.0152159849566435</v>
      </c>
      <c r="U96" s="51" t="n">
        <f aca="false">U94/U95</f>
        <v>-0.0061160344097663</v>
      </c>
      <c r="V96" s="51" t="n">
        <f aca="false">V94/V95</f>
        <v>-0.0141191940577898</v>
      </c>
    </row>
    <row r="97" customFormat="false" ht="15" hidden="false" customHeight="false" outlineLevel="0" collapsed="false">
      <c r="A97" s="4" t="s">
        <v>455</v>
      </c>
      <c r="B97" s="13" t="s">
        <v>73</v>
      </c>
      <c r="S97" s="51" t="n">
        <f aca="false">S41/AVERAGE(R66,S66)</f>
        <v>0.0195019089209263</v>
      </c>
      <c r="T97" s="51" t="n">
        <f aca="false">T41/AVERAGE(S66,T66)</f>
        <v>0.0279953168463314</v>
      </c>
      <c r="U97" s="51" t="n">
        <f aca="false">U41/AVERAGE(T66,U66)</f>
        <v>0.0209517894668444</v>
      </c>
      <c r="V97" s="51" t="n">
        <f aca="false">V41/AVERAGE(U66,V66)</f>
        <v>0.020473345479376</v>
      </c>
    </row>
    <row r="99" customFormat="false" ht="15" hidden="false" customHeight="false" outlineLevel="0" collapsed="false">
      <c r="A99" s="16" t="s">
        <v>317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R99" s="17"/>
      <c r="S99" s="17"/>
      <c r="T99" s="17"/>
      <c r="U99" s="17"/>
      <c r="V99" s="17"/>
    </row>
    <row r="100" customFormat="false" ht="15" hidden="false" customHeight="false" outlineLevel="0" collapsed="false">
      <c r="A100" s="4" t="s">
        <v>456</v>
      </c>
      <c r="B100" s="13" t="s">
        <v>135</v>
      </c>
      <c r="S100" s="50"/>
      <c r="T100" s="55" t="n">
        <f aca="false">T49</f>
        <v>138.783560415644</v>
      </c>
      <c r="U100" s="50"/>
      <c r="V100" s="50"/>
    </row>
    <row r="101" customFormat="false" ht="15" hidden="false" customHeight="false" outlineLevel="0" collapsed="false">
      <c r="A101" s="4" t="s">
        <v>368</v>
      </c>
      <c r="B101" s="13" t="s">
        <v>138</v>
      </c>
      <c r="S101" s="50"/>
      <c r="T101" s="66" t="n">
        <f aca="false">Inputs!$E$93</f>
        <v>7</v>
      </c>
      <c r="U101" s="50"/>
      <c r="V101" s="50"/>
    </row>
    <row r="102" customFormat="false" ht="15" hidden="false" customHeight="false" outlineLevel="0" collapsed="false">
      <c r="A102" s="4" t="s">
        <v>457</v>
      </c>
      <c r="B102" s="13" t="s">
        <v>135</v>
      </c>
      <c r="S102" s="50"/>
      <c r="T102" s="55" t="n">
        <f aca="false">MAX(0,T100*T101)</f>
        <v>971.484922909508</v>
      </c>
      <c r="U102" s="50"/>
      <c r="V102" s="50"/>
    </row>
    <row r="103" customFormat="false" ht="15" hidden="false" customHeight="false" outlineLevel="0" collapsed="false">
      <c r="A103" s="4" t="s">
        <v>458</v>
      </c>
      <c r="B103" s="13" t="s">
        <v>135</v>
      </c>
      <c r="S103" s="50"/>
      <c r="T103" s="55" t="n">
        <f aca="false">T31*(1-Inputs!$E$29)</f>
        <v>50.05</v>
      </c>
      <c r="U103" s="50"/>
      <c r="V103" s="50"/>
    </row>
    <row r="104" customFormat="false" ht="15" hidden="false" customHeight="false" outlineLevel="0" collapsed="false">
      <c r="A104" s="4" t="s">
        <v>459</v>
      </c>
      <c r="B104" s="13" t="s">
        <v>135</v>
      </c>
      <c r="S104" s="50"/>
      <c r="T104" s="55" t="n">
        <f aca="false">T103*Inputs!$E$94</f>
        <v>450.45</v>
      </c>
      <c r="U104" s="50"/>
      <c r="V104" s="50"/>
    </row>
    <row r="105" customFormat="false" ht="15" hidden="false" customHeight="false" outlineLevel="0" collapsed="false">
      <c r="A105" s="4" t="s">
        <v>460</v>
      </c>
      <c r="B105" s="13" t="s">
        <v>135</v>
      </c>
      <c r="S105" s="50"/>
      <c r="T105" s="55" t="n">
        <f aca="false">Inputs!$E$49</f>
        <v>50</v>
      </c>
      <c r="U105" s="50"/>
      <c r="V105" s="50"/>
    </row>
    <row r="106" customFormat="false" ht="15" hidden="false" customHeight="false" outlineLevel="0" collapsed="false">
      <c r="A106" s="4" t="s">
        <v>461</v>
      </c>
      <c r="B106" s="13" t="s">
        <v>135</v>
      </c>
      <c r="S106" s="50"/>
      <c r="T106" s="55" t="n">
        <f aca="false">Inputs!$E$48</f>
        <v>985.958</v>
      </c>
      <c r="U106" s="50"/>
      <c r="V106" s="50"/>
    </row>
    <row r="107" customFormat="false" ht="15" hidden="false" customHeight="false" outlineLevel="0" collapsed="false">
      <c r="A107" s="3" t="s">
        <v>462</v>
      </c>
      <c r="B107" s="13" t="s">
        <v>135</v>
      </c>
      <c r="S107" s="50"/>
      <c r="T107" s="56" t="n">
        <f aca="false">T102+T104+T105+T106</f>
        <v>2457.89292290951</v>
      </c>
      <c r="U107" s="50"/>
      <c r="V107" s="50"/>
    </row>
    <row r="108" customFormat="false" ht="15" hidden="false" customHeight="false" outlineLevel="0" collapsed="false">
      <c r="A108" s="3" t="s">
        <v>463</v>
      </c>
      <c r="B108" s="13" t="s">
        <v>59</v>
      </c>
      <c r="S108" s="50"/>
      <c r="T108" s="59" t="n">
        <f aca="false">T107/Inputs!$E$50</f>
        <v>23.4085040277096</v>
      </c>
      <c r="U108" s="50"/>
      <c r="V108" s="50"/>
    </row>
    <row r="109" customFormat="false" ht="15" hidden="false" customHeight="false" outlineLevel="0" collapsed="false">
      <c r="A109" s="4" t="s">
        <v>464</v>
      </c>
      <c r="B109" s="13" t="s">
        <v>135</v>
      </c>
      <c r="S109" s="55" t="n">
        <f aca="false">(S26+S29)*(1-Inputs!$E$29)+S48+S79+S74+S75+S76</f>
        <v>-177.194506934691</v>
      </c>
      <c r="T109" s="55" t="n">
        <f aca="false">(T26+T29)*(1-Inputs!$E$29)+T48+T79+T74+T75+T76</f>
        <v>-36.9265747607581</v>
      </c>
      <c r="U109" s="55" t="n">
        <f aca="false">(U26+U29)*(1-Inputs!$E$29)+U48+U79+U74+U75+U76</f>
        <v>-60.0209173626424</v>
      </c>
      <c r="V109" s="55" t="n">
        <f aca="false">(V26+V29)*(1-Inputs!$E$29)+V48+V79+V74+V75+V76</f>
        <v>-68.3134512592241</v>
      </c>
    </row>
    <row r="110" customFormat="false" ht="15" hidden="false" customHeight="false" outlineLevel="0" collapsed="false">
      <c r="A110" s="4" t="s">
        <v>465</v>
      </c>
      <c r="B110" s="13" t="s">
        <v>200</v>
      </c>
      <c r="S110" s="50"/>
      <c r="T110" s="67" t="n">
        <f aca="false">Inputs!$E$51</f>
        <v>0.75</v>
      </c>
      <c r="U110" s="67" t="n">
        <f aca="false">Inputs!$E$51+1</f>
        <v>1.75</v>
      </c>
      <c r="V110" s="67" t="n">
        <f aca="false">Inputs!$E$51+2</f>
        <v>2.75</v>
      </c>
    </row>
    <row r="111" customFormat="false" ht="15" hidden="false" customHeight="false" outlineLevel="0" collapsed="false">
      <c r="A111" s="4" t="s">
        <v>466</v>
      </c>
      <c r="B111" s="13" t="s">
        <v>135</v>
      </c>
      <c r="S111" s="50"/>
      <c r="T111" s="55" t="n">
        <f aca="false">T109/(1+Inputs!$E$95)^T110</f>
        <v>-34.3791006395387</v>
      </c>
      <c r="U111" s="55" t="n">
        <f aca="false">U109/(1+Inputs!$E$95)^U110</f>
        <v>-50.8002009111474</v>
      </c>
      <c r="V111" s="55" t="n">
        <f aca="false">V109/(1+Inputs!$E$95)^V110</f>
        <v>-52.5625398821746</v>
      </c>
    </row>
    <row r="112" customFormat="false" ht="15" hidden="false" customHeight="false" outlineLevel="0" collapsed="false">
      <c r="A112" s="4" t="s">
        <v>467</v>
      </c>
      <c r="B112" s="13" t="s">
        <v>135</v>
      </c>
      <c r="S112" s="50"/>
      <c r="T112" s="50"/>
      <c r="U112" s="50"/>
      <c r="V112" s="55" t="n">
        <f aca="false">MAX(0,V109)*(1+Inputs!$E$96)/(Inputs!$E$95-Inputs!$E$96)</f>
        <v>0</v>
      </c>
    </row>
    <row r="113" customFormat="false" ht="15" hidden="false" customHeight="false" outlineLevel="0" collapsed="false">
      <c r="A113" s="4" t="s">
        <v>468</v>
      </c>
      <c r="B113" s="13" t="s">
        <v>135</v>
      </c>
      <c r="S113" s="50"/>
      <c r="T113" s="50"/>
      <c r="U113" s="50"/>
      <c r="V113" s="55" t="n">
        <f aca="false">V112/(1+Inputs!$E$95)^(V110+Inputs!$E$52)</f>
        <v>0</v>
      </c>
    </row>
    <row r="114" customFormat="false" ht="15" hidden="false" customHeight="false" outlineLevel="0" collapsed="false">
      <c r="A114" s="4" t="s">
        <v>469</v>
      </c>
      <c r="B114" s="13" t="s">
        <v>135</v>
      </c>
      <c r="S114" s="50"/>
      <c r="T114" s="55" t="n">
        <f aca="false">IF(Inputs!$E$53=1,MAX(0,SUM(T111:V111)+V113),SUM(T111:V111)+V113)</f>
        <v>0</v>
      </c>
      <c r="U114" s="50"/>
      <c r="V114" s="50"/>
    </row>
    <row r="115" customFormat="false" ht="15" hidden="false" customHeight="false" outlineLevel="0" collapsed="false">
      <c r="A115" s="3" t="s">
        <v>470</v>
      </c>
      <c r="B115" s="13" t="s">
        <v>135</v>
      </c>
      <c r="S115" s="50"/>
      <c r="T115" s="56" t="n">
        <f aca="false">T114+T104+T105+T106</f>
        <v>1486.408</v>
      </c>
      <c r="U115" s="50"/>
      <c r="V115" s="50"/>
    </row>
    <row r="116" customFormat="false" ht="15" hidden="false" customHeight="false" outlineLevel="0" collapsed="false">
      <c r="A116" s="3" t="s">
        <v>471</v>
      </c>
      <c r="B116" s="13" t="s">
        <v>59</v>
      </c>
      <c r="S116" s="50"/>
      <c r="T116" s="59" t="n">
        <f aca="false">T115/Inputs!$E$50</f>
        <v>14.1562666666667</v>
      </c>
      <c r="U116" s="50"/>
      <c r="V116" s="50"/>
    </row>
    <row r="117" customFormat="false" ht="15" hidden="false" customHeight="false" outlineLevel="0" collapsed="false">
      <c r="A117" s="3" t="s">
        <v>339</v>
      </c>
      <c r="B117" s="13" t="s">
        <v>59</v>
      </c>
      <c r="S117" s="50"/>
      <c r="T117" s="59" t="n">
        <f aca="false">Inputs!$E$97*T116+(1-Inputs!$E$97)*T108</f>
        <v>18.7823853471881</v>
      </c>
      <c r="U117" s="50"/>
      <c r="V117" s="50"/>
    </row>
    <row r="118" customFormat="false" ht="15" hidden="false" customHeight="false" outlineLevel="0" collapsed="false">
      <c r="A118" s="3" t="s">
        <v>340</v>
      </c>
      <c r="B118" s="13" t="s">
        <v>73</v>
      </c>
      <c r="S118" s="50"/>
      <c r="T118" s="68" t="n">
        <f aca="false">T117/Inputs!$E$5-1</f>
        <v>-0.303065478768529</v>
      </c>
      <c r="U118" s="50"/>
      <c r="V118" s="50"/>
    </row>
    <row r="119" customFormat="false" ht="15" hidden="false" customHeight="false" outlineLevel="0" collapsed="false">
      <c r="A119" s="4" t="s">
        <v>472</v>
      </c>
      <c r="B119" s="13" t="s">
        <v>138</v>
      </c>
      <c r="S119" s="50"/>
      <c r="T119" s="66" t="n">
        <f aca="false">IF(T43&gt;0,T117/T43,"n.m.")</f>
        <v>23.5345232864832</v>
      </c>
      <c r="U119" s="50"/>
      <c r="V119" s="50"/>
    </row>
    <row r="120" customFormat="false" ht="15" hidden="false" customHeight="false" outlineLevel="0" collapsed="false">
      <c r="A120" s="4" t="s">
        <v>473</v>
      </c>
      <c r="B120" s="13" t="s">
        <v>138</v>
      </c>
      <c r="S120" s="50"/>
      <c r="T120" s="66" t="n">
        <f aca="false">T117*Inputs!$E$50/T66</f>
        <v>0.693954636087306</v>
      </c>
      <c r="U120" s="50"/>
      <c r="V120" s="5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6" min="3" style="0" width="10.51"/>
    <col collapsed="false" customWidth="true" hidden="false" outlineLevel="0" max="17" min="17" style="0" width="2"/>
    <col collapsed="false" customWidth="true" hidden="false" outlineLevel="0" max="22" min="18" style="0" width="10.51"/>
  </cols>
  <sheetData>
    <row r="1" customFormat="false" ht="15" hidden="false" customHeight="false" outlineLevel="0" collapsed="false">
      <c r="A1" s="12" t="s">
        <v>474</v>
      </c>
    </row>
    <row r="2" customFormat="false" ht="15" hidden="false" customHeight="false" outlineLevel="0" collapsed="false">
      <c r="A2" s="13" t="s">
        <v>375</v>
      </c>
    </row>
    <row r="4" customFormat="false" ht="15" hidden="false" customHeight="false" outlineLevel="0" collapsed="false">
      <c r="A4" s="48"/>
      <c r="B4" s="48"/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  <c r="H4" s="15" t="s">
        <v>34</v>
      </c>
      <c r="I4" s="15" t="s">
        <v>35</v>
      </c>
      <c r="J4" s="15" t="s">
        <v>36</v>
      </c>
      <c r="K4" s="15" t="s">
        <v>376</v>
      </c>
      <c r="L4" s="15" t="s">
        <v>377</v>
      </c>
      <c r="M4" s="15" t="s">
        <v>378</v>
      </c>
      <c r="N4" s="15" t="s">
        <v>379</v>
      </c>
      <c r="O4" s="15" t="s">
        <v>380</v>
      </c>
      <c r="P4" s="15" t="s">
        <v>381</v>
      </c>
      <c r="R4" s="15" t="s">
        <v>382</v>
      </c>
      <c r="S4" s="15" t="s">
        <v>383</v>
      </c>
      <c r="T4" s="15" t="s">
        <v>384</v>
      </c>
      <c r="U4" s="15" t="s">
        <v>385</v>
      </c>
      <c r="V4" s="15" t="s">
        <v>386</v>
      </c>
    </row>
    <row r="5" customFormat="false" ht="15" hidden="false" customHeight="false" outlineLevel="0" collapsed="false">
      <c r="A5" s="16" t="s">
        <v>387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R5" s="17"/>
      <c r="S5" s="17"/>
      <c r="T5" s="17"/>
      <c r="U5" s="17"/>
      <c r="V5" s="17"/>
    </row>
    <row r="6" customFormat="false" ht="15" hidden="false" customHeight="false" outlineLevel="0" collapsed="false">
      <c r="A6" s="4" t="s">
        <v>388</v>
      </c>
      <c r="B6" s="13" t="s">
        <v>63</v>
      </c>
      <c r="C6" s="21" t="n">
        <f aca="false">Historicals!C32+Historicals!C33+Historicals!C34+Historicals!C35</f>
        <v>36166</v>
      </c>
      <c r="D6" s="21" t="n">
        <f aca="false">Historicals!D32+Historicals!D33+Historicals!D34+Historicals!D35</f>
        <v>25660</v>
      </c>
      <c r="E6" s="21" t="n">
        <f aca="false">Historicals!E32+Historicals!E33+Historicals!E34+Historicals!E35</f>
        <v>31010</v>
      </c>
      <c r="F6" s="21" t="n">
        <f aca="false">Historicals!F32+Historicals!F33+Historicals!F34+Historicals!F35</f>
        <v>42254</v>
      </c>
      <c r="G6" s="21" t="n">
        <f aca="false">Historicals!G32+Historicals!G33+Historicals!G34+Historicals!G35</f>
        <v>33984</v>
      </c>
      <c r="H6" s="21" t="n">
        <f aca="false">Historicals!H32+Historicals!H33+Historicals!H34+Historicals!H35</f>
        <v>25287</v>
      </c>
      <c r="I6" s="21" t="n">
        <f aca="false">Historicals!I32+Historicals!I33+Historicals!I34+Historicals!I35</f>
        <v>33507</v>
      </c>
      <c r="J6" s="21" t="n">
        <f aca="false">Historicals!J32+Historicals!J33+Historicals!J34+Historicals!J35</f>
        <v>42467</v>
      </c>
      <c r="K6" s="49" t="n">
        <f aca="false">G6*(1+Inputs!$D$66)</f>
        <v>32964.48</v>
      </c>
      <c r="L6" s="49" t="n">
        <f aca="false">H6*(1+Inputs!$D$66)</f>
        <v>24528.39</v>
      </c>
      <c r="M6" s="49" t="n">
        <f aca="false">I6*(1+Inputs!$D$67)</f>
        <v>31831.65</v>
      </c>
      <c r="N6" s="49" t="n">
        <f aca="false">J6*(1+Inputs!$D$67)</f>
        <v>40343.65</v>
      </c>
      <c r="O6" s="49" t="n">
        <f aca="false">K6*(1+Inputs!$D$67)</f>
        <v>31316.256</v>
      </c>
      <c r="P6" s="49" t="n">
        <f aca="false">L6*(1+Inputs!$D$67)</f>
        <v>23301.9705</v>
      </c>
      <c r="R6" s="21" t="n">
        <f aca="false">SUM(E6:H6)</f>
        <v>132535</v>
      </c>
      <c r="S6" s="49" t="n">
        <f aca="false">SUM(I6:L6)</f>
        <v>133466.87</v>
      </c>
      <c r="T6" s="49" t="n">
        <f aca="false">SUM(M6:P6)</f>
        <v>126793.5265</v>
      </c>
      <c r="U6" s="49" t="n">
        <f aca="false">T6*(1+Inputs!$D$68)</f>
        <v>122989.720705</v>
      </c>
      <c r="V6" s="49" t="n">
        <f aca="false">U6*(1+Inputs!$D$69)</f>
        <v>120529.9262909</v>
      </c>
    </row>
    <row r="7" customFormat="false" ht="15" hidden="false" customHeight="false" outlineLevel="0" collapsed="false">
      <c r="A7" s="4" t="s">
        <v>389</v>
      </c>
      <c r="B7" s="13" t="s">
        <v>63</v>
      </c>
      <c r="C7" s="21" t="n">
        <f aca="false">Historicals!C32</f>
        <v>24573</v>
      </c>
      <c r="D7" s="21" t="n">
        <f aca="false">Historicals!D32</f>
        <v>15127</v>
      </c>
      <c r="E7" s="21" t="n">
        <f aca="false">Historicals!E32</f>
        <v>20892</v>
      </c>
      <c r="F7" s="21" t="n">
        <f aca="false">Historicals!F32</f>
        <v>28931</v>
      </c>
      <c r="G7" s="21" t="n">
        <f aca="false">Historicals!G32</f>
        <v>23462</v>
      </c>
      <c r="H7" s="21" t="n">
        <f aca="false">Historicals!H32</f>
        <v>15847</v>
      </c>
      <c r="I7" s="21" t="n">
        <f aca="false">Historicals!I32</f>
        <v>23803</v>
      </c>
      <c r="J7" s="21" t="n">
        <f aca="false">Historicals!J32</f>
        <v>29751</v>
      </c>
      <c r="R7" s="21" t="n">
        <f aca="false">SUM(E7:H7)</f>
        <v>89132</v>
      </c>
      <c r="S7" s="50"/>
      <c r="T7" s="50"/>
      <c r="U7" s="50"/>
      <c r="V7" s="50"/>
    </row>
    <row r="8" customFormat="false" ht="15" hidden="false" customHeight="false" outlineLevel="0" collapsed="false">
      <c r="A8" s="4" t="s">
        <v>390</v>
      </c>
      <c r="B8" s="13" t="s">
        <v>73</v>
      </c>
      <c r="G8" s="30" t="n">
        <f aca="false">G6/C6-1</f>
        <v>-0.0603329093623846</v>
      </c>
      <c r="H8" s="30" t="n">
        <f aca="false">H6/D6-1</f>
        <v>-0.0145362431800468</v>
      </c>
      <c r="I8" s="30" t="n">
        <f aca="false">I6/E6-1</f>
        <v>0.0805224121251209</v>
      </c>
      <c r="J8" s="30" t="n">
        <f aca="false">J6/F6-1</f>
        <v>0.00504094286931411</v>
      </c>
      <c r="K8" s="51" t="n">
        <f aca="false">K6/G6-1</f>
        <v>-0.0300000000000001</v>
      </c>
      <c r="L8" s="51" t="n">
        <f aca="false">L6/H6-1</f>
        <v>-0.03</v>
      </c>
      <c r="M8" s="51" t="n">
        <f aca="false">M6/I6-1</f>
        <v>-0.05</v>
      </c>
      <c r="N8" s="51" t="n">
        <f aca="false">N6/J6-1</f>
        <v>-0.0499999999999999</v>
      </c>
      <c r="O8" s="51" t="n">
        <f aca="false">O6/K6-1</f>
        <v>-0.05</v>
      </c>
      <c r="P8" s="51" t="n">
        <f aca="false">P6/L6-1</f>
        <v>-0.05</v>
      </c>
      <c r="S8" s="51" t="n">
        <f aca="false">S6/R6-1</f>
        <v>0.00703112385407634</v>
      </c>
      <c r="T8" s="51" t="n">
        <f aca="false">T6/S6-1</f>
        <v>-0.05</v>
      </c>
      <c r="U8" s="51" t="n">
        <f aca="false">U6/T6-1</f>
        <v>-0.03</v>
      </c>
      <c r="V8" s="51" t="n">
        <f aca="false">V6/U6-1</f>
        <v>-0.02</v>
      </c>
    </row>
    <row r="9" customFormat="false" ht="15" hidden="false" customHeight="false" outlineLevel="0" collapsed="false">
      <c r="A9" s="3" t="s">
        <v>391</v>
      </c>
      <c r="B9" s="13" t="s">
        <v>63</v>
      </c>
      <c r="C9" s="52" t="n">
        <f aca="false">Historicals!C27</f>
        <v>27520</v>
      </c>
      <c r="D9" s="52" t="n">
        <f aca="false">Historicals!D27</f>
        <v>14010</v>
      </c>
      <c r="E9" s="52" t="n">
        <f aca="false">Historicals!E27</f>
        <v>38601</v>
      </c>
      <c r="F9" s="52" t="n">
        <f aca="false">Historicals!F27</f>
        <v>35837</v>
      </c>
      <c r="G9" s="52" t="n">
        <f aca="false">Historicals!G27</f>
        <v>36524</v>
      </c>
      <c r="H9" s="52" t="n">
        <f aca="false">Historicals!H27</f>
        <v>13515</v>
      </c>
      <c r="I9" s="52" t="n">
        <f aca="false">Historicals!I27</f>
        <v>37295</v>
      </c>
      <c r="J9" s="52" t="n">
        <f aca="false">Historicals!J27</f>
        <v>39209</v>
      </c>
      <c r="K9" s="53" t="n">
        <f aca="false">(Inputs!$D$70-I9-J9)*Inputs!$E$38</f>
        <v>32097.6</v>
      </c>
      <c r="L9" s="53" t="n">
        <f aca="false">Inputs!$D$70-I9-J9-K9</f>
        <v>21398.4</v>
      </c>
      <c r="M9" s="53" t="n">
        <f aca="false">$T9*Inputs!$E$39</f>
        <v>34082.0999232</v>
      </c>
      <c r="N9" s="53" t="n">
        <f aca="false">$T9*Inputs!$E$40</f>
        <v>35299.3177776</v>
      </c>
      <c r="O9" s="53" t="n">
        <f aca="false">$T9*Inputs!$E$41</f>
        <v>31647.6642144</v>
      </c>
      <c r="P9" s="53" t="n">
        <f aca="false">$T9*Inputs!$E$42</f>
        <v>20692.7035248</v>
      </c>
      <c r="R9" s="52" t="n">
        <f aca="false">SUM(E9:H9)</f>
        <v>124477</v>
      </c>
      <c r="S9" s="53" t="n">
        <f aca="false">SUM(I9:L9)</f>
        <v>130000</v>
      </c>
      <c r="T9" s="53" t="n">
        <f aca="false">T6*(1+Inputs!$D$71)</f>
        <v>121721.78544</v>
      </c>
      <c r="U9" s="53" t="n">
        <f aca="false">U6*(1+Inputs!$D$72)</f>
        <v>121759.82349795</v>
      </c>
      <c r="V9" s="53" t="n">
        <f aca="false">V6*(1+Inputs!$D$73)</f>
        <v>120529.9262909</v>
      </c>
    </row>
    <row r="10" customFormat="false" ht="15" hidden="false" customHeight="false" outlineLevel="0" collapsed="false">
      <c r="A10" s="4" t="s">
        <v>392</v>
      </c>
      <c r="B10" s="13" t="s">
        <v>73</v>
      </c>
      <c r="G10" s="30" t="n">
        <f aca="false">G9/C9-1</f>
        <v>0.327180232558139</v>
      </c>
      <c r="H10" s="30" t="n">
        <f aca="false">H9/D9-1</f>
        <v>-0.0353319057815846</v>
      </c>
      <c r="I10" s="30" t="n">
        <f aca="false">I9/E9-1</f>
        <v>-0.0338333203803011</v>
      </c>
      <c r="J10" s="30" t="n">
        <f aca="false">J9/F9-1</f>
        <v>0.0940926974914196</v>
      </c>
      <c r="K10" s="51" t="n">
        <f aca="false">K9/G9-1</f>
        <v>-0.121191545285292</v>
      </c>
      <c r="L10" s="51" t="n">
        <f aca="false">L9/H9-1</f>
        <v>0.58330743618202</v>
      </c>
      <c r="M10" s="51" t="n">
        <f aca="false">M9/I9-1</f>
        <v>-0.0861482793082182</v>
      </c>
      <c r="N10" s="51" t="n">
        <f aca="false">N9/J9-1</f>
        <v>-0.0997138978907906</v>
      </c>
      <c r="O10" s="51" t="n">
        <f aca="false">O9/K9-1</f>
        <v>-0.0140177391954538</v>
      </c>
      <c r="P10" s="51" t="n">
        <f aca="false">P9/L9-1</f>
        <v>-0.0329789365186185</v>
      </c>
      <c r="S10" s="51" t="n">
        <f aca="false">S9/R9-1</f>
        <v>0.0443696425845739</v>
      </c>
      <c r="T10" s="51" t="n">
        <f aca="false">T9/S9-1</f>
        <v>-0.0636785735384616</v>
      </c>
      <c r="U10" s="51" t="n">
        <f aca="false">U9/T9-1</f>
        <v>0.000312499999999938</v>
      </c>
      <c r="V10" s="51" t="n">
        <f aca="false">V9/U9-1</f>
        <v>-0.0101010101010102</v>
      </c>
    </row>
    <row r="11" customFormat="false" ht="15" hidden="false" customHeight="false" outlineLevel="0" collapsed="false">
      <c r="A11" s="4" t="s">
        <v>393</v>
      </c>
      <c r="B11" s="13" t="s">
        <v>63</v>
      </c>
      <c r="C11" s="21" t="n">
        <f aca="false">C9-C6</f>
        <v>-8646</v>
      </c>
      <c r="D11" s="21" t="n">
        <f aca="false">D9-D6</f>
        <v>-11650</v>
      </c>
      <c r="E11" s="21" t="n">
        <f aca="false">E9-E6</f>
        <v>7591</v>
      </c>
      <c r="F11" s="21" t="n">
        <f aca="false">F9-F6</f>
        <v>-6417</v>
      </c>
      <c r="G11" s="21" t="n">
        <f aca="false">G9-G6</f>
        <v>2540</v>
      </c>
      <c r="H11" s="21" t="n">
        <f aca="false">H9-H6</f>
        <v>-11772</v>
      </c>
      <c r="I11" s="21" t="n">
        <f aca="false">I9-I6</f>
        <v>3788</v>
      </c>
      <c r="J11" s="21" t="n">
        <f aca="false">J9-J6</f>
        <v>-3258</v>
      </c>
      <c r="K11" s="49" t="n">
        <f aca="false">K9-K6</f>
        <v>-866.879999999997</v>
      </c>
      <c r="L11" s="49" t="n">
        <f aca="false">L9-L6</f>
        <v>-3129.99</v>
      </c>
      <c r="M11" s="49" t="n">
        <f aca="false">M9-M6</f>
        <v>2250.44992320001</v>
      </c>
      <c r="N11" s="49" t="n">
        <f aca="false">N9-N6</f>
        <v>-5044.33222240001</v>
      </c>
      <c r="O11" s="49" t="n">
        <f aca="false">O9-O6</f>
        <v>331.408214400006</v>
      </c>
      <c r="P11" s="49" t="n">
        <f aca="false">P9-P6</f>
        <v>-2609.2669752</v>
      </c>
      <c r="R11" s="21" t="n">
        <f aca="false">R9-R6</f>
        <v>-8058</v>
      </c>
      <c r="S11" s="49" t="n">
        <f aca="false">S9-S6</f>
        <v>-3466.87</v>
      </c>
      <c r="T11" s="49" t="n">
        <f aca="false">T9-T6</f>
        <v>-5071.74106</v>
      </c>
      <c r="U11" s="49" t="n">
        <f aca="false">U9-U6</f>
        <v>-1229.89720705</v>
      </c>
      <c r="V11" s="49" t="n">
        <f aca="false">V9-V6</f>
        <v>0</v>
      </c>
    </row>
    <row r="12" customFormat="false" ht="15" hidden="false" customHeight="false" outlineLevel="0" collapsed="false">
      <c r="A12" s="4" t="s">
        <v>394</v>
      </c>
      <c r="B12" s="13" t="s">
        <v>73</v>
      </c>
      <c r="G12" s="30" t="n">
        <f aca="false">Historicals!G36</f>
        <v>-0.13</v>
      </c>
      <c r="H12" s="30" t="n">
        <f aca="false">Historicals!H36</f>
        <v>-0.17</v>
      </c>
      <c r="I12" s="30" t="n">
        <f aca="false">Historicals!I36</f>
        <v>-0.22</v>
      </c>
      <c r="J12" s="30" t="n">
        <f aca="false">Historicals!J36</f>
        <v>-0.17</v>
      </c>
    </row>
    <row r="13" customFormat="false" ht="15" hidden="false" customHeight="false" outlineLevel="0" collapsed="false">
      <c r="A13" s="4" t="s">
        <v>395</v>
      </c>
      <c r="B13" s="13" t="s">
        <v>73</v>
      </c>
      <c r="C13" s="30" t="n">
        <f aca="false">Historicals!C30/Historicals!C27</f>
        <v>0.0643168604651163</v>
      </c>
      <c r="D13" s="30" t="n">
        <f aca="false">Historicals!D30/Historicals!D27</f>
        <v>0.107637401855817</v>
      </c>
      <c r="E13" s="30" t="n">
        <f aca="false">Historicals!E30/Historicals!E27</f>
        <v>0.0546099841973006</v>
      </c>
      <c r="F13" s="30" t="n">
        <f aca="false">Historicals!F30/Historicals!F27</f>
        <v>0.088958339146692</v>
      </c>
      <c r="G13" s="30" t="n">
        <f aca="false">Historicals!G30/Historicals!G27</f>
        <v>0.071952688643084</v>
      </c>
      <c r="H13" s="30" t="n">
        <f aca="false">Historicals!H30/Historicals!H27</f>
        <v>0.126822049574547</v>
      </c>
      <c r="I13" s="30" t="n">
        <f aca="false">Historicals!I30/Historicals!I27</f>
        <v>0.100040219868615</v>
      </c>
      <c r="J13" s="30" t="n">
        <f aca="false">Historicals!J30/Historicals!J27</f>
        <v>0.117753576984876</v>
      </c>
    </row>
    <row r="14" customFormat="false" ht="15" hidden="false" customHeight="false" outlineLevel="0" collapsed="false">
      <c r="A14" s="4" t="s">
        <v>396</v>
      </c>
      <c r="B14" s="13" t="s">
        <v>73</v>
      </c>
      <c r="C14" s="30" t="n">
        <f aca="false">Historicals!C28/Historicals!C27</f>
        <v>0.56297238372093</v>
      </c>
      <c r="D14" s="30" t="n">
        <f aca="false">Historicals!D28/Historicals!D27</f>
        <v>0.397073518915061</v>
      </c>
      <c r="E14" s="30" t="n">
        <f aca="false">Historicals!E28/Historicals!E27</f>
        <v>0.613403797829072</v>
      </c>
      <c r="F14" s="30" t="n">
        <f aca="false">Historicals!F28/Historicals!F27</f>
        <v>0.504506515612356</v>
      </c>
      <c r="G14" s="30" t="n">
        <f aca="false">Historicals!G28/Historicals!G27</f>
        <v>0.603301938451429</v>
      </c>
      <c r="H14" s="30" t="n">
        <f aca="false">Historicals!H28/Historicals!H27</f>
        <v>0.403921568627451</v>
      </c>
      <c r="I14" s="30" t="n">
        <f aca="false">Historicals!I28/Historicals!I27</f>
        <v>0.577021048397909</v>
      </c>
      <c r="J14" s="30" t="n">
        <f aca="false">Historicals!J28/Historicals!J27</f>
        <v>0.500930908719937</v>
      </c>
    </row>
    <row r="16" customFormat="false" ht="15" hidden="false" customHeight="false" outlineLevel="0" collapsed="false">
      <c r="A16" s="16" t="s">
        <v>397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R16" s="17"/>
      <c r="S16" s="17"/>
      <c r="T16" s="17"/>
      <c r="U16" s="17"/>
      <c r="V16" s="17"/>
    </row>
    <row r="17" customFormat="false" ht="15" hidden="false" customHeight="false" outlineLevel="0" collapsed="false">
      <c r="A17" s="4" t="s">
        <v>398</v>
      </c>
      <c r="B17" s="13" t="s">
        <v>39</v>
      </c>
      <c r="C17" s="35" t="n">
        <f aca="false">Historicals!C6/Historicals!C27</f>
        <v>22.3702034883721</v>
      </c>
      <c r="D17" s="35" t="n">
        <f aca="false">Historicals!D6/Historicals!D27</f>
        <v>16.5217701641685</v>
      </c>
      <c r="E17" s="35" t="n">
        <f aca="false">Historicals!E6/Historicals!E27</f>
        <v>22.379290691951</v>
      </c>
      <c r="F17" s="35" t="n">
        <f aca="false">Historicals!F6/Historicals!F27</f>
        <v>21.7108295895304</v>
      </c>
      <c r="G17" s="35" t="n">
        <f aca="false">Historicals!G6/Historicals!G27</f>
        <v>22.5020260650531</v>
      </c>
      <c r="H17" s="35" t="n">
        <f aca="false">Historicals!H6/Historicals!H27</f>
        <v>14.3456899741028</v>
      </c>
      <c r="I17" s="35" t="n">
        <f aca="false">Historicals!I6/Historicals!I27</f>
        <v>22.4237565357287</v>
      </c>
      <c r="J17" s="35" t="n">
        <f aca="false">Historicals!J6/Historicals!J27</f>
        <v>21.6291412685863</v>
      </c>
      <c r="K17" s="54" t="n">
        <f aca="false">Inputs!$E$60*(1+Inputs!$D$74)</f>
        <v>21.5761787618948</v>
      </c>
      <c r="L17" s="54" t="n">
        <f aca="false">Inputs!$E$60*(1+Inputs!$D$74)</f>
        <v>21.5761787618948</v>
      </c>
      <c r="M17" s="54" t="n">
        <f aca="false">$K17*(1+Inputs!$D$75)</f>
        <v>20.713131611419</v>
      </c>
      <c r="N17" s="54" t="n">
        <f aca="false">$K17*(1+Inputs!$D$75)</f>
        <v>20.713131611419</v>
      </c>
      <c r="O17" s="54" t="n">
        <f aca="false">$K17*(1+Inputs!$D$75)</f>
        <v>20.713131611419</v>
      </c>
      <c r="P17" s="54" t="n">
        <f aca="false">$K17*(1+Inputs!$D$75)</f>
        <v>20.713131611419</v>
      </c>
      <c r="R17" s="35" t="n">
        <f aca="false">R18/R9*1000</f>
        <v>21.3506109562409</v>
      </c>
      <c r="S17" s="54" t="n">
        <f aca="false">S18/S9*1000</f>
        <v>21.8353096849717</v>
      </c>
      <c r="T17" s="54" t="n">
        <f aca="false">T18/T9*1000</f>
        <v>20.713131611419</v>
      </c>
      <c r="U17" s="54" t="n">
        <f aca="false">T17*(1+Inputs!$D$76)</f>
        <v>20.2988689791906</v>
      </c>
      <c r="V17" s="54" t="n">
        <f aca="false">U17*(1+Inputs!$D$77)</f>
        <v>20.0958802893987</v>
      </c>
    </row>
    <row r="18" customFormat="false" ht="15" hidden="false" customHeight="false" outlineLevel="0" collapsed="false">
      <c r="A18" s="4" t="s">
        <v>38</v>
      </c>
      <c r="B18" s="13" t="s">
        <v>135</v>
      </c>
      <c r="C18" s="31" t="n">
        <f aca="false">Historicals!C6/1000</f>
        <v>615.628</v>
      </c>
      <c r="D18" s="31" t="n">
        <f aca="false">Historicals!D6/1000</f>
        <v>231.47</v>
      </c>
      <c r="E18" s="31" t="n">
        <f aca="false">Historicals!E6/1000</f>
        <v>863.863</v>
      </c>
      <c r="F18" s="31" t="n">
        <f aca="false">Historicals!F6/1000</f>
        <v>778.051</v>
      </c>
      <c r="G18" s="31" t="n">
        <f aca="false">Historicals!G6/1000</f>
        <v>821.864</v>
      </c>
      <c r="H18" s="31" t="n">
        <f aca="false">Historicals!H6/1000</f>
        <v>193.882</v>
      </c>
      <c r="I18" s="31" t="n">
        <f aca="false">Historicals!I6/1000</f>
        <v>836.294</v>
      </c>
      <c r="J18" s="31" t="n">
        <f aca="false">Historicals!J6/1000</f>
        <v>848.057</v>
      </c>
      <c r="K18" s="55" t="n">
        <f aca="false">K9*K17/1000</f>
        <v>692.543555427795</v>
      </c>
      <c r="L18" s="55" t="n">
        <f aca="false">L9*L17/1000</f>
        <v>461.69570361853</v>
      </c>
      <c r="M18" s="55" t="n">
        <f aca="false">M9*M17/1000</f>
        <v>705.947021302775</v>
      </c>
      <c r="N18" s="55" t="n">
        <f aca="false">N9*N17/1000</f>
        <v>731.159414920732</v>
      </c>
      <c r="O18" s="55" t="n">
        <f aca="false">O9*O17/1000</f>
        <v>655.522234066863</v>
      </c>
      <c r="P18" s="55" t="n">
        <f aca="false">P9*P17/1000</f>
        <v>428.610691505256</v>
      </c>
      <c r="R18" s="31" t="n">
        <f aca="false">SUM(E18:H18)</f>
        <v>2657.66</v>
      </c>
      <c r="S18" s="55" t="n">
        <f aca="false">SUM(I18:L18)</f>
        <v>2838.59025904632</v>
      </c>
      <c r="T18" s="55" t="n">
        <f aca="false">SUM(M18:P18)</f>
        <v>2521.23936179563</v>
      </c>
      <c r="U18" s="55" t="n">
        <f aca="false">U9*U17/1000</f>
        <v>2471.58670411426</v>
      </c>
      <c r="V18" s="55" t="n">
        <f aca="false">V9*V17/1000</f>
        <v>2422.15497003198</v>
      </c>
    </row>
    <row r="19" customFormat="false" ht="15" hidden="false" customHeight="false" outlineLevel="0" collapsed="false">
      <c r="A19" s="4" t="s">
        <v>399</v>
      </c>
      <c r="B19" s="13" t="s">
        <v>135</v>
      </c>
      <c r="C19" s="31" t="n">
        <f aca="false">(Historicals!C7)/1000</f>
        <v>174.301</v>
      </c>
      <c r="D19" s="31" t="n">
        <f aca="false">(Historicals!D7)/1000</f>
        <v>117.605</v>
      </c>
      <c r="E19" s="31" t="n">
        <f aca="false">(Historicals!E7)/1000</f>
        <v>143.433</v>
      </c>
      <c r="F19" s="31" t="n">
        <f aca="false">(Historicals!F7)/1000</f>
        <v>186.874</v>
      </c>
      <c r="G19" s="31" t="n">
        <f aca="false">(Historicals!G7)/1000</f>
        <v>167.252</v>
      </c>
      <c r="H19" s="31" t="n">
        <f aca="false">(Historicals!H7)/1000</f>
        <v>116.513</v>
      </c>
      <c r="I19" s="31" t="n">
        <f aca="false">(Historicals!I7)/1000</f>
        <v>142.243</v>
      </c>
      <c r="J19" s="31" t="n">
        <f aca="false">(Historicals!J7)/1000</f>
        <v>176.95</v>
      </c>
      <c r="K19" s="55" t="n">
        <f aca="false">G19*(1+Inputs!$D$78)</f>
        <v>158.8894</v>
      </c>
      <c r="L19" s="55" t="n">
        <f aca="false">H19*(1+Inputs!$D$78)</f>
        <v>110.68735</v>
      </c>
      <c r="M19" s="55" t="n">
        <f aca="false">I19*(1+Inputs!$D$78)</f>
        <v>135.13085</v>
      </c>
      <c r="N19" s="55" t="n">
        <f aca="false">J19*(1+Inputs!$D$78)</f>
        <v>168.1025</v>
      </c>
      <c r="O19" s="55" t="n">
        <f aca="false">K19*(1+Inputs!$D$78)</f>
        <v>150.94493</v>
      </c>
      <c r="P19" s="55" t="n">
        <f aca="false">L19*(1+Inputs!$D$78)</f>
        <v>105.1529825</v>
      </c>
      <c r="R19" s="31" t="n">
        <f aca="false">SUM(E19:H19)</f>
        <v>614.072</v>
      </c>
      <c r="S19" s="55" t="n">
        <f aca="false">SUM(I19:L19)</f>
        <v>588.76975</v>
      </c>
      <c r="T19" s="55" t="n">
        <f aca="false">SUM(M19:P19)</f>
        <v>559.3312625</v>
      </c>
      <c r="U19" s="55" t="n">
        <f aca="false">T19*(1+Inputs!$D$78)</f>
        <v>531.364699375</v>
      </c>
      <c r="V19" s="55" t="n">
        <f aca="false">U19*(1+Inputs!$D$78)</f>
        <v>504.79646440625</v>
      </c>
    </row>
    <row r="20" customFormat="false" ht="15" hidden="false" customHeight="false" outlineLevel="0" collapsed="false">
      <c r="A20" s="4" t="s">
        <v>400</v>
      </c>
      <c r="B20" s="13" t="s">
        <v>135</v>
      </c>
      <c r="C20" s="31" t="n">
        <f aca="false">(Historicals!C8+Historicals!C9+Historicals!C10)/1000</f>
        <v>86.476</v>
      </c>
      <c r="D20" s="31" t="n">
        <f aca="false">(Historicals!D8+Historicals!D9+Historicals!D10)/1000</f>
        <v>71.414</v>
      </c>
      <c r="E20" s="31" t="n">
        <f aca="false">(Historicals!E8+Historicals!E9+Historicals!E10)/1000</f>
        <v>74.209</v>
      </c>
      <c r="F20" s="31" t="n">
        <f aca="false">(Historicals!F8+Historicals!F9+Historicals!F10)/1000</f>
        <v>78.724</v>
      </c>
      <c r="G20" s="31" t="n">
        <f aca="false">(Historicals!G8+Historicals!G9+Historicals!G10)/1000</f>
        <v>84.843</v>
      </c>
      <c r="H20" s="31" t="n">
        <f aca="false">(Historicals!H8+Historicals!H9+Historicals!H10)/1000</f>
        <v>68.8</v>
      </c>
      <c r="I20" s="31" t="n">
        <f aca="false">(Historicals!I8+Historicals!I9+Historicals!I10)/1000</f>
        <v>76.934</v>
      </c>
      <c r="J20" s="31" t="n">
        <f aca="false">(Historicals!J8+Historicals!J9+Historicals!J10)/1000</f>
        <v>79.273</v>
      </c>
      <c r="K20" s="55" t="n">
        <f aca="false">G20*(1+Inputs!$D$78)</f>
        <v>80.60085</v>
      </c>
      <c r="L20" s="55" t="n">
        <f aca="false">H20*(1+Inputs!$D$78)</f>
        <v>65.36</v>
      </c>
      <c r="M20" s="55" t="n">
        <f aca="false">I20*(1+Inputs!$D$78)</f>
        <v>73.0873</v>
      </c>
      <c r="N20" s="55" t="n">
        <f aca="false">J20*(1+Inputs!$D$78)</f>
        <v>75.30935</v>
      </c>
      <c r="O20" s="55" t="n">
        <f aca="false">K20*(1+Inputs!$D$78)</f>
        <v>76.5708075</v>
      </c>
      <c r="P20" s="55" t="n">
        <f aca="false">L20*(1+Inputs!$D$78)</f>
        <v>62.092</v>
      </c>
      <c r="R20" s="31" t="n">
        <f aca="false">SUM(E20:H20)</f>
        <v>306.576</v>
      </c>
      <c r="S20" s="55" t="n">
        <f aca="false">SUM(I20:L20)</f>
        <v>302.16785</v>
      </c>
      <c r="T20" s="55" t="n">
        <f aca="false">SUM(M20:P20)</f>
        <v>287.0594575</v>
      </c>
      <c r="U20" s="55" t="n">
        <f aca="false">T20*(1+Inputs!$D$78)</f>
        <v>272.706484625</v>
      </c>
      <c r="V20" s="55" t="n">
        <f aca="false">U20*(1+Inputs!$D$78)</f>
        <v>259.07116039375</v>
      </c>
    </row>
    <row r="21" customFormat="false" ht="15" hidden="false" customHeight="false" outlineLevel="0" collapsed="false">
      <c r="A21" s="3" t="s">
        <v>401</v>
      </c>
      <c r="B21" s="13" t="s">
        <v>135</v>
      </c>
      <c r="C21" s="42" t="n">
        <f aca="false">C18+C19+C20</f>
        <v>876.405</v>
      </c>
      <c r="D21" s="42" t="n">
        <f aca="false">D18+D19+D20</f>
        <v>420.489</v>
      </c>
      <c r="E21" s="42" t="n">
        <f aca="false">E18+E19+E20</f>
        <v>1081.505</v>
      </c>
      <c r="F21" s="42" t="n">
        <f aca="false">F18+F19+F20</f>
        <v>1043.649</v>
      </c>
      <c r="G21" s="42" t="n">
        <f aca="false">G18+G19+G20</f>
        <v>1073.959</v>
      </c>
      <c r="H21" s="42" t="n">
        <f aca="false">H18+H19+H20</f>
        <v>379.195</v>
      </c>
      <c r="I21" s="42" t="n">
        <f aca="false">I18+I19+I20</f>
        <v>1055.471</v>
      </c>
      <c r="J21" s="42" t="n">
        <f aca="false">J18+J19+J20</f>
        <v>1104.28</v>
      </c>
      <c r="K21" s="56" t="n">
        <f aca="false">K18+K19+K20</f>
        <v>932.033805427795</v>
      </c>
      <c r="L21" s="56" t="n">
        <f aca="false">L18+L19+L20</f>
        <v>637.74305361853</v>
      </c>
      <c r="M21" s="56" t="n">
        <f aca="false">M18+M19+M20</f>
        <v>914.165171302775</v>
      </c>
      <c r="N21" s="56" t="n">
        <f aca="false">N18+N19+N20</f>
        <v>974.571264920731</v>
      </c>
      <c r="O21" s="56" t="n">
        <f aca="false">O18+O19+O20</f>
        <v>883.037971566863</v>
      </c>
      <c r="P21" s="56" t="n">
        <f aca="false">P18+P19+P20</f>
        <v>595.855674005256</v>
      </c>
      <c r="R21" s="42" t="n">
        <f aca="false">R18+R19+R20</f>
        <v>3578.308</v>
      </c>
      <c r="S21" s="56" t="n">
        <f aca="false">S18+S19+S20</f>
        <v>3729.52785904632</v>
      </c>
      <c r="T21" s="56" t="n">
        <f aca="false">T18+T19+T20</f>
        <v>3367.63008179563</v>
      </c>
      <c r="U21" s="56" t="n">
        <f aca="false">U18+U19+U20</f>
        <v>3275.65788811426</v>
      </c>
      <c r="V21" s="56" t="n">
        <f aca="false">V18+V19+V20</f>
        <v>3186.02259483198</v>
      </c>
    </row>
    <row r="22" customFormat="false" ht="15" hidden="false" customHeight="false" outlineLevel="0" collapsed="false">
      <c r="A22" s="4" t="s">
        <v>402</v>
      </c>
      <c r="B22" s="13" t="s">
        <v>73</v>
      </c>
      <c r="G22" s="30" t="n">
        <f aca="false">G21/C21-1</f>
        <v>0.225414049440613</v>
      </c>
      <c r="H22" s="30" t="n">
        <f aca="false">H21/D21-1</f>
        <v>-0.0982047092789585</v>
      </c>
      <c r="I22" s="30" t="n">
        <f aca="false">I21/E21-1</f>
        <v>-0.0240720107627798</v>
      </c>
      <c r="J22" s="30" t="n">
        <f aca="false">J21/F21-1</f>
        <v>0.0580952025058232</v>
      </c>
      <c r="K22" s="51" t="n">
        <f aca="false">K21/G21-1</f>
        <v>-0.132151408547445</v>
      </c>
      <c r="L22" s="51" t="n">
        <f aca="false">L21/H21-1</f>
        <v>0.681834026341407</v>
      </c>
      <c r="M22" s="51" t="n">
        <f aca="false">M21/I21-1</f>
        <v>-0.133879404263333</v>
      </c>
      <c r="N22" s="51" t="n">
        <f aca="false">N21/J21-1</f>
        <v>-0.117460005686301</v>
      </c>
      <c r="O22" s="51" t="n">
        <f aca="false">O21/K21-1</f>
        <v>-0.0525687304211495</v>
      </c>
      <c r="P22" s="51" t="n">
        <f aca="false">P21/L21-1</f>
        <v>-0.0656806520676407</v>
      </c>
      <c r="S22" s="51" t="n">
        <f aca="false">S21/R21-1</f>
        <v>0.0422601573275201</v>
      </c>
      <c r="T22" s="51" t="n">
        <f aca="false">T21/S21-1</f>
        <v>-0.0970358155048716</v>
      </c>
      <c r="U22" s="51" t="n">
        <f aca="false">U21/T21-1</f>
        <v>-0.0273106580733248</v>
      </c>
      <c r="V22" s="51" t="n">
        <f aca="false">V21/U21-1</f>
        <v>-0.0273640582575876</v>
      </c>
    </row>
    <row r="23" customFormat="false" ht="15" hidden="false" customHeight="false" outlineLevel="0" collapsed="false">
      <c r="A23" s="4" t="s">
        <v>44</v>
      </c>
      <c r="B23" s="13" t="s">
        <v>135</v>
      </c>
      <c r="C23" s="31" t="n">
        <f aca="false">Historicals!C11/1000</f>
        <v>263.813</v>
      </c>
      <c r="D23" s="31" t="n">
        <f aca="false">Historicals!D11/1000</f>
        <v>-3.17</v>
      </c>
      <c r="E23" s="31" t="n">
        <f aca="false">Historicals!E11/1000</f>
        <v>315.244</v>
      </c>
      <c r="F23" s="31" t="n">
        <f aca="false">Historicals!F11/1000</f>
        <v>298.705</v>
      </c>
      <c r="G23" s="31" t="n">
        <f aca="false">Historicals!G11/1000</f>
        <v>283.11</v>
      </c>
      <c r="H23" s="31" t="n">
        <f aca="false">Historicals!H11/1000</f>
        <v>-30.467</v>
      </c>
      <c r="I23" s="31" t="n">
        <f aca="false">Historicals!I11/1000</f>
        <v>266.989</v>
      </c>
      <c r="J23" s="31" t="n">
        <f aca="false">Historicals!J11/1000</f>
        <v>304.126</v>
      </c>
      <c r="K23" s="55" t="n">
        <f aca="false">(Inputs!$E$57+Inputs!$D$79)*K21-Inputs!$E$58*(1+Inputs!$E$43)^0</f>
        <v>214.274439479961</v>
      </c>
      <c r="L23" s="55" t="n">
        <f aca="false">(Inputs!$E$57+Inputs!$D$79)*L21-Inputs!$E$58*(1+Inputs!$E$43)^0</f>
        <v>81.1289340875067</v>
      </c>
      <c r="M23" s="55" t="n">
        <f aca="false">(Inputs!$E$57+Inputs!$D$80)*M21-Inputs!$E$58*(1+Inputs!$E$43)^1</f>
        <v>197.47125218264</v>
      </c>
      <c r="N23" s="55" t="n">
        <f aca="false">(Inputs!$E$57+Inputs!$D$80)*N21-Inputs!$E$58*(1+Inputs!$E$43)^1</f>
        <v>224.498656343741</v>
      </c>
      <c r="O23" s="55" t="n">
        <f aca="false">(Inputs!$E$57+Inputs!$D$80)*O21-Inputs!$E$58*(1+Inputs!$E$43)^1</f>
        <v>183.544057800784</v>
      </c>
      <c r="P23" s="55" t="n">
        <f aca="false">(Inputs!$E$57+Inputs!$D$80)*P21-Inputs!$E$58*(1+Inputs!$E$43)^1</f>
        <v>55.0505307536416</v>
      </c>
      <c r="R23" s="31" t="n">
        <f aca="false">SUM(E23:H23)</f>
        <v>866.592</v>
      </c>
      <c r="S23" s="55" t="n">
        <f aca="false">SUM(I23:L23)</f>
        <v>866.518373567468</v>
      </c>
      <c r="T23" s="55" t="n">
        <f aca="false">SUM(M23:P23)</f>
        <v>660.564497080806</v>
      </c>
      <c r="U23" s="55" t="n">
        <f aca="false">(Inputs!$E$57+Inputs!$D$80)*U21-4*Inputs!$E$58*(1+Inputs!$E$43)^2</f>
        <v>602.489342592508</v>
      </c>
      <c r="V23" s="55" t="n">
        <f aca="false">(Inputs!$E$57+Inputs!$D$80)*V21-4*Inputs!$E$58*(1+Inputs!$E$43)^3</f>
        <v>545.121300212243</v>
      </c>
    </row>
    <row r="24" customFormat="false" ht="15" hidden="false" customHeight="false" outlineLevel="0" collapsed="false">
      <c r="A24" s="4" t="s">
        <v>403</v>
      </c>
      <c r="B24" s="13" t="s">
        <v>73</v>
      </c>
      <c r="C24" s="30" t="n">
        <f aca="false">C23/C21</f>
        <v>0.301017223772114</v>
      </c>
      <c r="D24" s="30" t="n">
        <f aca="false">D23/D21</f>
        <v>-0.0075388416819465</v>
      </c>
      <c r="E24" s="30" t="n">
        <f aca="false">E23/E21</f>
        <v>0.291486400895049</v>
      </c>
      <c r="F24" s="30" t="n">
        <f aca="false">F23/F21</f>
        <v>0.286212126874074</v>
      </c>
      <c r="G24" s="30" t="n">
        <f aca="false">G23/G21</f>
        <v>0.263613415409713</v>
      </c>
      <c r="H24" s="30" t="n">
        <f aca="false">H23/H21</f>
        <v>-0.0803465235564815</v>
      </c>
      <c r="I24" s="30" t="n">
        <f aca="false">I23/I21</f>
        <v>0.252957210572342</v>
      </c>
      <c r="J24" s="30" t="n">
        <f aca="false">J23/J21</f>
        <v>0.275406599775419</v>
      </c>
      <c r="K24" s="51" t="n">
        <f aca="false">K23/K21</f>
        <v>0.229899857958061</v>
      </c>
      <c r="L24" s="51" t="n">
        <f aca="false">L23/L21</f>
        <v>0.127212571939724</v>
      </c>
      <c r="M24" s="51" t="n">
        <f aca="false">M23/M21</f>
        <v>0.216012662023892</v>
      </c>
      <c r="N24" s="51" t="n">
        <f aca="false">N23/N21</f>
        <v>0.230356326340076</v>
      </c>
      <c r="O24" s="51" t="n">
        <f aca="false">O23/O21</f>
        <v>0.207855226740821</v>
      </c>
      <c r="P24" s="51" t="n">
        <f aca="false">P23/P21</f>
        <v>0.0923890350554184</v>
      </c>
      <c r="R24" s="30" t="n">
        <f aca="false">R23/R21</f>
        <v>0.242179264613331</v>
      </c>
      <c r="S24" s="51" t="n">
        <f aca="false">S23/S21</f>
        <v>0.232339965356646</v>
      </c>
      <c r="T24" s="51" t="n">
        <f aca="false">T23/T21</f>
        <v>0.196151145178212</v>
      </c>
      <c r="U24" s="51" t="n">
        <f aca="false">U23/U21</f>
        <v>0.183929263424805</v>
      </c>
      <c r="V24" s="51" t="n">
        <f aca="false">V23/V21</f>
        <v>0.171097750874862</v>
      </c>
    </row>
    <row r="25" customFormat="false" ht="15" hidden="false" customHeight="false" outlineLevel="0" collapsed="false">
      <c r="A25" s="4" t="s">
        <v>45</v>
      </c>
      <c r="B25" s="13" t="s">
        <v>135</v>
      </c>
      <c r="C25" s="31" t="n">
        <f aca="false">Historicals!C12/1000</f>
        <v>208.676</v>
      </c>
      <c r="D25" s="31" t="n">
        <f aca="false">Historicals!D12/1000</f>
        <v>210.472</v>
      </c>
      <c r="E25" s="31" t="n">
        <f aca="false">Historicals!E12/1000</f>
        <v>198.972</v>
      </c>
      <c r="F25" s="31" t="n">
        <f aca="false">Historicals!F12/1000</f>
        <v>237.389</v>
      </c>
      <c r="G25" s="31" t="n">
        <f aca="false">Historicals!G12/1000</f>
        <v>228.991</v>
      </c>
      <c r="H25" s="31" t="n">
        <f aca="false">Historicals!H12/1000</f>
        <v>229.97</v>
      </c>
      <c r="I25" s="31" t="n">
        <f aca="false">Historicals!I12/1000</f>
        <v>248.064</v>
      </c>
      <c r="J25" s="31" t="n">
        <f aca="false">Historicals!J12/1000</f>
        <v>231.788</v>
      </c>
      <c r="K25" s="55" t="n">
        <f aca="false">G25*(1+Inputs!$D$81)</f>
        <v>233.57082</v>
      </c>
      <c r="L25" s="55" t="n">
        <f aca="false">H25*(1+Inputs!$D$81)</f>
        <v>234.5694</v>
      </c>
      <c r="M25" s="55" t="n">
        <f aca="false">I25*(1+Inputs!$D$81)</f>
        <v>253.02528</v>
      </c>
      <c r="N25" s="55" t="n">
        <f aca="false">J25*(1+Inputs!$D$81)</f>
        <v>236.42376</v>
      </c>
      <c r="O25" s="55" t="n">
        <f aca="false">K25*(1+Inputs!$D$81)</f>
        <v>238.2422364</v>
      </c>
      <c r="P25" s="55" t="n">
        <f aca="false">L25*(1+Inputs!$D$81)</f>
        <v>239.260788</v>
      </c>
      <c r="R25" s="31" t="n">
        <f aca="false">SUM(E25:H25)</f>
        <v>895.322</v>
      </c>
      <c r="S25" s="55" t="n">
        <f aca="false">SUM(I25:L25)</f>
        <v>947.99222</v>
      </c>
      <c r="T25" s="55" t="n">
        <f aca="false">SUM(M25:P25)</f>
        <v>966.9520644</v>
      </c>
      <c r="U25" s="55" t="n">
        <f aca="false">T25*(1+Inputs!$D$81)</f>
        <v>986.291105688</v>
      </c>
      <c r="V25" s="55" t="n">
        <f aca="false">U25*(1+Inputs!$D$81)</f>
        <v>1006.01692780176</v>
      </c>
    </row>
    <row r="26" customFormat="false" ht="15" hidden="false" customHeight="false" outlineLevel="0" collapsed="false">
      <c r="A26" s="3" t="s">
        <v>404</v>
      </c>
      <c r="B26" s="13" t="s">
        <v>135</v>
      </c>
      <c r="C26" s="42" t="n">
        <f aca="false">C23-C25</f>
        <v>55.137</v>
      </c>
      <c r="D26" s="42" t="n">
        <f aca="false">D23-D25</f>
        <v>-213.642</v>
      </c>
      <c r="E26" s="42" t="n">
        <f aca="false">E23-E25</f>
        <v>116.272</v>
      </c>
      <c r="F26" s="42" t="n">
        <f aca="false">F23-F25</f>
        <v>61.316</v>
      </c>
      <c r="G26" s="42" t="n">
        <f aca="false">G23-G25</f>
        <v>54.119</v>
      </c>
      <c r="H26" s="42" t="n">
        <f aca="false">H23-H25</f>
        <v>-260.437</v>
      </c>
      <c r="I26" s="42" t="n">
        <f aca="false">I23-I25</f>
        <v>18.925</v>
      </c>
      <c r="J26" s="42" t="n">
        <f aca="false">J23-J25</f>
        <v>72.338</v>
      </c>
      <c r="K26" s="56" t="n">
        <f aca="false">K23-K25</f>
        <v>-19.2963805200387</v>
      </c>
      <c r="L26" s="56" t="n">
        <f aca="false">L23-L25</f>
        <v>-153.440465912493</v>
      </c>
      <c r="M26" s="56" t="n">
        <f aca="false">M23-M25</f>
        <v>-55.5540278173602</v>
      </c>
      <c r="N26" s="56" t="n">
        <f aca="false">N23-N25</f>
        <v>-11.9251036562594</v>
      </c>
      <c r="O26" s="56" t="n">
        <f aca="false">O23-O25</f>
        <v>-54.6981785992156</v>
      </c>
      <c r="P26" s="56" t="n">
        <f aca="false">P23-P25</f>
        <v>-184.210257246358</v>
      </c>
      <c r="R26" s="42" t="n">
        <f aca="false">R23-R25</f>
        <v>-28.7300000000001</v>
      </c>
      <c r="S26" s="56" t="n">
        <f aca="false">S23-S25</f>
        <v>-81.473846432532</v>
      </c>
      <c r="T26" s="56" t="n">
        <f aca="false">T23-T25</f>
        <v>-306.387567319194</v>
      </c>
      <c r="U26" s="56" t="n">
        <f aca="false">U23-U25</f>
        <v>-383.801763095493</v>
      </c>
      <c r="V26" s="56" t="n">
        <f aca="false">V23-V25</f>
        <v>-460.895627589517</v>
      </c>
    </row>
    <row r="27" customFormat="false" ht="15" hidden="false" customHeight="false" outlineLevel="0" collapsed="false">
      <c r="A27" s="4" t="s">
        <v>405</v>
      </c>
      <c r="B27" s="13" t="s">
        <v>73</v>
      </c>
      <c r="C27" s="30" t="n">
        <f aca="false">C26/C21</f>
        <v>0.0629126944734455</v>
      </c>
      <c r="D27" s="30" t="n">
        <f aca="false">D26/D21</f>
        <v>-0.50807987842726</v>
      </c>
      <c r="E27" s="30" t="n">
        <f aca="false">E26/E21</f>
        <v>0.107509442859719</v>
      </c>
      <c r="F27" s="30" t="n">
        <f aca="false">F26/F21</f>
        <v>0.0587515534437344</v>
      </c>
      <c r="G27" s="30" t="n">
        <f aca="false">G26/G21</f>
        <v>0.0503920540728277</v>
      </c>
      <c r="H27" s="30" t="n">
        <f aca="false">H26/H21</f>
        <v>-0.686815490710584</v>
      </c>
      <c r="I27" s="30" t="n">
        <f aca="false">I26/I21</f>
        <v>0.0179303836865248</v>
      </c>
      <c r="J27" s="30" t="n">
        <f aca="false">J26/J21</f>
        <v>0.0655069366465027</v>
      </c>
      <c r="K27" s="51" t="n">
        <f aca="false">K26/K21</f>
        <v>-0.0207035199878634</v>
      </c>
      <c r="L27" s="51" t="n">
        <f aca="false">L26/L21</f>
        <v>-0.24059919593303</v>
      </c>
      <c r="M27" s="51" t="n">
        <f aca="false">M26/M21</f>
        <v>-0.060770230108625</v>
      </c>
      <c r="N27" s="51" t="n">
        <f aca="false">N26/N21</f>
        <v>-0.0122362561728406</v>
      </c>
      <c r="O27" s="51" t="n">
        <f aca="false">O26/O21</f>
        <v>-0.0619431783914786</v>
      </c>
      <c r="P27" s="51" t="n">
        <f aca="false">P26/P21</f>
        <v>-0.309152476484991</v>
      </c>
      <c r="R27" s="30" t="n">
        <f aca="false">R26/R21</f>
        <v>-0.00802893434550635</v>
      </c>
      <c r="S27" s="51" t="n">
        <f aca="false">S26/S21</f>
        <v>-0.0218456194756421</v>
      </c>
      <c r="T27" s="51" t="n">
        <f aca="false">T26/T21</f>
        <v>-0.0909801729636016</v>
      </c>
      <c r="U27" s="51" t="n">
        <f aca="false">U26/U21</f>
        <v>-0.117167841149748</v>
      </c>
      <c r="V27" s="51" t="n">
        <f aca="false">V26/V21</f>
        <v>-0.144661757370187</v>
      </c>
    </row>
    <row r="28" customFormat="false" ht="15" hidden="false" customHeight="false" outlineLevel="0" collapsed="false">
      <c r="A28" s="4" t="s">
        <v>46</v>
      </c>
      <c r="B28" s="13" t="s">
        <v>135</v>
      </c>
      <c r="C28" s="31" t="n">
        <f aca="false">Historicals!C13/1000</f>
        <v>4.808</v>
      </c>
      <c r="D28" s="31" t="n">
        <f aca="false">Historicals!D13/1000</f>
        <v>10.4</v>
      </c>
      <c r="E28" s="31" t="n">
        <f aca="false">Historicals!E13/1000</f>
        <v>2.743</v>
      </c>
      <c r="F28" s="31" t="n">
        <f aca="false">Historicals!F13/1000</f>
        <v>6.011</v>
      </c>
      <c r="G28" s="31" t="n">
        <f aca="false">Historicals!G13/1000</f>
        <v>5.563</v>
      </c>
      <c r="H28" s="31" t="n">
        <f aca="false">Historicals!H13/1000</f>
        <v>11.354</v>
      </c>
      <c r="I28" s="31" t="n">
        <f aca="false">Historicals!I13/1000</f>
        <v>5.116</v>
      </c>
      <c r="J28" s="31" t="n">
        <f aca="false">Historicals!J13/1000</f>
        <v>9.114</v>
      </c>
      <c r="K28" s="55" t="n">
        <f aca="false">G28*(1+Inputs!$D$86)</f>
        <v>5.563</v>
      </c>
      <c r="L28" s="55" t="n">
        <f aca="false">H28*(1+Inputs!$D$86)</f>
        <v>11.354</v>
      </c>
      <c r="M28" s="55" t="n">
        <f aca="false">I28*(1+Inputs!$D$86)</f>
        <v>5.116</v>
      </c>
      <c r="N28" s="55" t="n">
        <f aca="false">J28*(1+Inputs!$D$86)</f>
        <v>9.114</v>
      </c>
      <c r="O28" s="55" t="n">
        <f aca="false">K28*(1+Inputs!$D$86)</f>
        <v>5.563</v>
      </c>
      <c r="P28" s="55" t="n">
        <f aca="false">L28*(1+Inputs!$D$86)</f>
        <v>11.354</v>
      </c>
      <c r="R28" s="31" t="n">
        <f aca="false">SUM(E28:H28)</f>
        <v>25.671</v>
      </c>
      <c r="S28" s="55" t="n">
        <f aca="false">SUM(I28:L28)</f>
        <v>31.147</v>
      </c>
      <c r="T28" s="55" t="n">
        <f aca="false">SUM(M28:P28)</f>
        <v>31.147</v>
      </c>
      <c r="U28" s="55" t="n">
        <f aca="false">T28*(1+Inputs!$D$86)</f>
        <v>31.147</v>
      </c>
      <c r="V28" s="55" t="n">
        <f aca="false">U28*(1+Inputs!$D$86)</f>
        <v>31.147</v>
      </c>
    </row>
    <row r="29" customFormat="false" ht="15" hidden="false" customHeight="false" outlineLevel="0" collapsed="false">
      <c r="A29" s="4" t="s">
        <v>406</v>
      </c>
      <c r="B29" s="13" t="s">
        <v>135</v>
      </c>
      <c r="C29" s="31" t="n">
        <f aca="false">(Historicals!C14-Historicals!C15)/1000</f>
        <v>-26.085</v>
      </c>
      <c r="D29" s="31" t="n">
        <f aca="false">(Historicals!D14-Historicals!D15)/1000</f>
        <v>-26.146</v>
      </c>
      <c r="E29" s="31" t="n">
        <f aca="false">(Historicals!E14-Historicals!E15)/1000</f>
        <v>-19.809</v>
      </c>
      <c r="F29" s="31" t="n">
        <f aca="false">(Historicals!F14-Historicals!F15)/1000</f>
        <v>-18.653</v>
      </c>
      <c r="G29" s="31" t="n">
        <f aca="false">(Historicals!G14-Historicals!G15)/1000</f>
        <v>-18.181</v>
      </c>
      <c r="H29" s="31" t="n">
        <f aca="false">(Historicals!H14-Historicals!H15)/1000</f>
        <v>-18.374</v>
      </c>
      <c r="I29" s="31" t="n">
        <f aca="false">(Historicals!I14-Historicals!I15)/1000</f>
        <v>-17.671</v>
      </c>
      <c r="J29" s="31" t="n">
        <f aca="false">(Historicals!J14-Historicals!J15)/1000</f>
        <v>-17.927</v>
      </c>
      <c r="K29" s="55" t="n">
        <f aca="false">(Inputs!$D$82-I29-J29)/2</f>
        <v>-22.201</v>
      </c>
      <c r="L29" s="55" t="n">
        <f aca="false">(Inputs!$D$82-I29-J29)/2</f>
        <v>-22.201</v>
      </c>
      <c r="M29" s="55" t="n">
        <f aca="false">Inputs!$D$83/4</f>
        <v>-20</v>
      </c>
      <c r="N29" s="55" t="n">
        <f aca="false">Inputs!$D$83/4</f>
        <v>-20</v>
      </c>
      <c r="O29" s="55" t="n">
        <f aca="false">Inputs!$D$83/4</f>
        <v>-20</v>
      </c>
      <c r="P29" s="55" t="n">
        <f aca="false">Inputs!$D$83/4</f>
        <v>-20</v>
      </c>
      <c r="R29" s="31" t="n">
        <f aca="false">SUM(E29:H29)</f>
        <v>-75.017</v>
      </c>
      <c r="S29" s="55" t="n">
        <f aca="false">SUM(I29:L29)</f>
        <v>-80</v>
      </c>
      <c r="T29" s="55" t="n">
        <f aca="false">SUM(M29:P29)</f>
        <v>-80</v>
      </c>
      <c r="U29" s="55" t="n">
        <f aca="false">Inputs!$D$84</f>
        <v>-75</v>
      </c>
      <c r="V29" s="55" t="n">
        <f aca="false">Inputs!$D$85</f>
        <v>-70</v>
      </c>
    </row>
    <row r="30" customFormat="false" ht="15" hidden="false" customHeight="false" outlineLevel="0" collapsed="false">
      <c r="A30" s="4" t="s">
        <v>49</v>
      </c>
      <c r="B30" s="13" t="s">
        <v>135</v>
      </c>
      <c r="C30" s="31" t="n">
        <f aca="false">Historicals!C16/1000</f>
        <v>269.482</v>
      </c>
      <c r="D30" s="31" t="n">
        <f aca="false">Historicals!D16/1000</f>
        <v>256.72</v>
      </c>
      <c r="E30" s="31" t="n">
        <f aca="false">Historicals!E16/1000</f>
        <v>244.961</v>
      </c>
      <c r="F30" s="31" t="n">
        <f aca="false">Historicals!F16/1000</f>
        <v>257.438</v>
      </c>
      <c r="G30" s="31" t="n">
        <f aca="false">Historicals!G16/1000</f>
        <v>261.188</v>
      </c>
      <c r="H30" s="31" t="n">
        <f aca="false">Historicals!H16/1000</f>
        <v>105.609</v>
      </c>
      <c r="I30" s="31" t="n">
        <f aca="false">Historicals!I16/1000</f>
        <v>111.944</v>
      </c>
      <c r="J30" s="31" t="n">
        <f aca="false">Historicals!J16/1000</f>
        <v>117.043</v>
      </c>
      <c r="K30" s="55" t="n">
        <f aca="false">AVERAGE($I30:$J30)*(1+Inputs!$D$91)^0.5</f>
        <v>113.342782352495</v>
      </c>
      <c r="L30" s="55" t="n">
        <f aca="false">AVERAGE($I30:$J30)*(1+Inputs!$D$91)^0.5</f>
        <v>113.342782352495</v>
      </c>
      <c r="M30" s="55" t="n">
        <f aca="false">AVERAGE($I30:$J30)*(1+Inputs!$D$91)^1.5</f>
        <v>111.075926705445</v>
      </c>
      <c r="N30" s="55" t="n">
        <f aca="false">AVERAGE($I30:$J30)*(1+Inputs!$D$91)^1.5</f>
        <v>111.075926705445</v>
      </c>
      <c r="O30" s="55" t="n">
        <f aca="false">AVERAGE($I30:$J30)*(1+Inputs!$D$91)^1.5</f>
        <v>111.075926705445</v>
      </c>
      <c r="P30" s="55" t="n">
        <f aca="false">AVERAGE($I30:$J30)*(1+Inputs!$D$91)^1.5</f>
        <v>111.075926705445</v>
      </c>
      <c r="R30" s="31" t="n">
        <f aca="false">SUM(E30:H30)</f>
        <v>869.196</v>
      </c>
      <c r="S30" s="55" t="n">
        <f aca="false">SUM(I30:L30)</f>
        <v>455.67256470499</v>
      </c>
      <c r="T30" s="55" t="n">
        <f aca="false">SUM(M30:P30)</f>
        <v>444.30370682178</v>
      </c>
      <c r="U30" s="55" t="n">
        <f aca="false">T30*(1+Inputs!$D$91)</f>
        <v>435.417632685344</v>
      </c>
      <c r="V30" s="55" t="n">
        <f aca="false">U30*(1+Inputs!$D$91)</f>
        <v>426.709280031637</v>
      </c>
    </row>
    <row r="31" customFormat="false" ht="15" hidden="false" customHeight="false" outlineLevel="0" collapsed="false">
      <c r="A31" s="4" t="s">
        <v>50</v>
      </c>
      <c r="B31" s="13" t="s">
        <v>135</v>
      </c>
      <c r="C31" s="31" t="n">
        <f aca="false">Historicals!C17/1000</f>
        <v>76.744</v>
      </c>
      <c r="D31" s="31" t="n">
        <f aca="false">Historicals!D17/1000</f>
        <v>46.44</v>
      </c>
      <c r="E31" s="31" t="n">
        <f aca="false">Historicals!E17/1000</f>
        <v>64.036</v>
      </c>
      <c r="F31" s="31" t="n">
        <f aca="false">Historicals!F17/1000</f>
        <v>69.773</v>
      </c>
      <c r="G31" s="31" t="n">
        <f aca="false">Historicals!G17/1000</f>
        <v>438.82</v>
      </c>
      <c r="H31" s="31" t="n">
        <f aca="false">Historicals!H17/1000</f>
        <v>-82.247</v>
      </c>
      <c r="I31" s="31" t="n">
        <f aca="false">Historicals!I17/1000</f>
        <v>22.24</v>
      </c>
      <c r="J31" s="31" t="n">
        <f aca="false">Historicals!J17/1000</f>
        <v>21.599</v>
      </c>
      <c r="K31" s="55" t="n">
        <f aca="false">(Inputs!$D$87-I31-J31)/2</f>
        <v>5.5805</v>
      </c>
      <c r="L31" s="55" t="n">
        <f aca="false">(Inputs!$D$87-I31-J31)/2</f>
        <v>5.5805</v>
      </c>
      <c r="M31" s="55" t="n">
        <f aca="false">Inputs!$D$88/4</f>
        <v>12.5</v>
      </c>
      <c r="N31" s="55" t="n">
        <f aca="false">Inputs!$D$88/4</f>
        <v>12.5</v>
      </c>
      <c r="O31" s="55" t="n">
        <f aca="false">Inputs!$D$88/4</f>
        <v>12.5</v>
      </c>
      <c r="P31" s="55" t="n">
        <f aca="false">Inputs!$D$88/4</f>
        <v>12.5</v>
      </c>
      <c r="R31" s="31" t="n">
        <f aca="false">SUM(E31:H31)</f>
        <v>490.382</v>
      </c>
      <c r="S31" s="55" t="n">
        <f aca="false">SUM(I31:L31)</f>
        <v>55</v>
      </c>
      <c r="T31" s="55" t="n">
        <f aca="false">SUM(M31:P31)</f>
        <v>50</v>
      </c>
      <c r="U31" s="55" t="n">
        <f aca="false">Inputs!$D$89</f>
        <v>50</v>
      </c>
      <c r="V31" s="55" t="n">
        <f aca="false">Inputs!$D$90</f>
        <v>50</v>
      </c>
    </row>
    <row r="32" customFormat="false" ht="15" hidden="false" customHeight="false" outlineLevel="0" collapsed="false">
      <c r="A32" s="3" t="s">
        <v>407</v>
      </c>
      <c r="B32" s="13" t="s">
        <v>135</v>
      </c>
      <c r="C32" s="42" t="n">
        <f aca="false">C21+C28+C30</f>
        <v>1150.695</v>
      </c>
      <c r="D32" s="42" t="n">
        <f aca="false">D21+D28+D30</f>
        <v>687.609</v>
      </c>
      <c r="E32" s="42" t="n">
        <f aca="false">E21+E28+E30</f>
        <v>1329.209</v>
      </c>
      <c r="F32" s="42" t="n">
        <f aca="false">F21+F28+F30</f>
        <v>1307.098</v>
      </c>
      <c r="G32" s="42" t="n">
        <f aca="false">G21+G28+G30</f>
        <v>1340.71</v>
      </c>
      <c r="H32" s="42" t="n">
        <f aca="false">H21+H28+H30</f>
        <v>496.158</v>
      </c>
      <c r="I32" s="42" t="n">
        <f aca="false">I21+I28+I30</f>
        <v>1172.531</v>
      </c>
      <c r="J32" s="42" t="n">
        <f aca="false">J21+J28+J30</f>
        <v>1230.437</v>
      </c>
      <c r="K32" s="56" t="n">
        <f aca="false">K21+K28+K30</f>
        <v>1050.93958778029</v>
      </c>
      <c r="L32" s="56" t="n">
        <f aca="false">L21+L28+L30</f>
        <v>762.439835971025</v>
      </c>
      <c r="M32" s="56" t="n">
        <f aca="false">M21+M28+M30</f>
        <v>1030.35709800822</v>
      </c>
      <c r="N32" s="56" t="n">
        <f aca="false">N21+N28+N30</f>
        <v>1094.76119162618</v>
      </c>
      <c r="O32" s="56" t="n">
        <f aca="false">O21+O28+O30</f>
        <v>999.676898272308</v>
      </c>
      <c r="P32" s="56" t="n">
        <f aca="false">P21+P28+P30</f>
        <v>718.285600710701</v>
      </c>
      <c r="R32" s="42" t="n">
        <f aca="false">R21+R28+R30</f>
        <v>4473.175</v>
      </c>
      <c r="S32" s="56" t="n">
        <f aca="false">S21+S28+S30</f>
        <v>4216.34742375131</v>
      </c>
      <c r="T32" s="56" t="n">
        <f aca="false">T21+T28+T30</f>
        <v>3843.08078861741</v>
      </c>
      <c r="U32" s="56" t="n">
        <f aca="false">U21+U28+U30</f>
        <v>3742.22252079961</v>
      </c>
      <c r="V32" s="56" t="n">
        <f aca="false">V21+V28+V30</f>
        <v>3643.87887486362</v>
      </c>
    </row>
    <row r="33" customFormat="false" ht="15" hidden="false" customHeight="false" outlineLevel="0" collapsed="false">
      <c r="A33" s="3" t="s">
        <v>408</v>
      </c>
      <c r="B33" s="13" t="s">
        <v>135</v>
      </c>
      <c r="C33" s="42" t="n">
        <f aca="false">C26+C29+C31</f>
        <v>105.796</v>
      </c>
      <c r="D33" s="42" t="n">
        <f aca="false">D26+D29+D31</f>
        <v>-193.348</v>
      </c>
      <c r="E33" s="42" t="n">
        <f aca="false">E26+E29+E31</f>
        <v>160.499</v>
      </c>
      <c r="F33" s="42" t="n">
        <f aca="false">F26+F29+F31</f>
        <v>112.436</v>
      </c>
      <c r="G33" s="42" t="n">
        <f aca="false">G26+G29+G31</f>
        <v>474.758</v>
      </c>
      <c r="H33" s="42" t="n">
        <f aca="false">H26+H29+H31</f>
        <v>-361.058</v>
      </c>
      <c r="I33" s="42" t="n">
        <f aca="false">I26+I29+I31</f>
        <v>23.494</v>
      </c>
      <c r="J33" s="42" t="n">
        <f aca="false">J26+J29+J31</f>
        <v>76.01</v>
      </c>
      <c r="K33" s="56" t="n">
        <f aca="false">K26+K29+K31</f>
        <v>-35.9168805200387</v>
      </c>
      <c r="L33" s="56" t="n">
        <f aca="false">L26+L29+L31</f>
        <v>-170.060965912493</v>
      </c>
      <c r="M33" s="56" t="n">
        <f aca="false">M26+M29+M31</f>
        <v>-63.0540278173602</v>
      </c>
      <c r="N33" s="56" t="n">
        <f aca="false">N26+N29+N31</f>
        <v>-19.4251036562594</v>
      </c>
      <c r="O33" s="56" t="n">
        <f aca="false">O26+O29+O31</f>
        <v>-62.1981785992156</v>
      </c>
      <c r="P33" s="56" t="n">
        <f aca="false">P26+P29+P31</f>
        <v>-191.710257246358</v>
      </c>
      <c r="R33" s="42" t="n">
        <f aca="false">R26+R29+R31</f>
        <v>386.635</v>
      </c>
      <c r="S33" s="56" t="n">
        <f aca="false">S26+S29+S31</f>
        <v>-106.473846432532</v>
      </c>
      <c r="T33" s="56" t="n">
        <f aca="false">T26+T29+T31</f>
        <v>-336.387567319194</v>
      </c>
      <c r="U33" s="56" t="n">
        <f aca="false">U26+U29+U31</f>
        <v>-408.801763095493</v>
      </c>
      <c r="V33" s="56" t="n">
        <f aca="false">V26+V29+V31</f>
        <v>-480.895627589517</v>
      </c>
    </row>
    <row r="34" customFormat="false" ht="15" hidden="false" customHeight="false" outlineLevel="0" collapsed="false">
      <c r="A34" s="4" t="s">
        <v>51</v>
      </c>
      <c r="B34" s="13" t="s">
        <v>135</v>
      </c>
      <c r="C34" s="31" t="n">
        <f aca="false">Historicals!C18/1000</f>
        <v>18.408</v>
      </c>
      <c r="D34" s="31" t="n">
        <f aca="false">Historicals!D18/1000</f>
        <v>17.445</v>
      </c>
      <c r="E34" s="31" t="n">
        <f aca="false">Historicals!E18/1000</f>
        <v>16.273</v>
      </c>
      <c r="F34" s="31" t="n">
        <f aca="false">Historicals!F18/1000</f>
        <v>14.477</v>
      </c>
      <c r="G34" s="31" t="n">
        <f aca="false">Historicals!G18/1000</f>
        <v>14.706</v>
      </c>
      <c r="H34" s="31" t="n">
        <f aca="false">Historicals!H18/1000</f>
        <v>15.814</v>
      </c>
      <c r="I34" s="31" t="n">
        <f aca="false">Historicals!I18/1000</f>
        <v>13.477</v>
      </c>
      <c r="J34" s="31" t="n">
        <f aca="false">Historicals!J18/1000</f>
        <v>11.047</v>
      </c>
      <c r="K34" s="55" t="n">
        <f aca="false">Inputs!$E$30</f>
        <v>12</v>
      </c>
      <c r="L34" s="55" t="n">
        <f aca="false">Inputs!$E$30</f>
        <v>12</v>
      </c>
      <c r="M34" s="55" t="n">
        <f aca="false">Inputs!$E$30</f>
        <v>12</v>
      </c>
      <c r="N34" s="55" t="n">
        <f aca="false">Inputs!$E$30</f>
        <v>12</v>
      </c>
      <c r="O34" s="55" t="n">
        <f aca="false">Inputs!$E$30</f>
        <v>12</v>
      </c>
      <c r="P34" s="55" t="n">
        <f aca="false">Inputs!$E$30</f>
        <v>12</v>
      </c>
      <c r="R34" s="31" t="n">
        <f aca="false">SUM(E34:H34)</f>
        <v>61.27</v>
      </c>
      <c r="S34" s="55" t="n">
        <f aca="false">SUM(I34:L34)</f>
        <v>48.524</v>
      </c>
      <c r="T34" s="55" t="n">
        <f aca="false">SUM(M34:P34)</f>
        <v>48</v>
      </c>
      <c r="U34" s="55" t="n">
        <f aca="false">4*Inputs!$E$30</f>
        <v>48</v>
      </c>
      <c r="V34" s="55" t="n">
        <f aca="false">4*Inputs!$E$30</f>
        <v>48</v>
      </c>
    </row>
    <row r="35" customFormat="false" ht="15" hidden="false" customHeight="false" outlineLevel="0" collapsed="false">
      <c r="A35" s="4" t="s">
        <v>52</v>
      </c>
      <c r="B35" s="13" t="s">
        <v>135</v>
      </c>
      <c r="C35" s="31" t="n">
        <f aca="false">Historicals!C19/1000</f>
        <v>16.45</v>
      </c>
      <c r="D35" s="31" t="n">
        <f aca="false">Historicals!D19/1000</f>
        <v>13.3</v>
      </c>
      <c r="E35" s="31" t="n">
        <f aca="false">Historicals!E19/1000</f>
        <v>8.941</v>
      </c>
      <c r="F35" s="31" t="n">
        <f aca="false">Historicals!F19/1000</f>
        <v>10.95</v>
      </c>
      <c r="G35" s="31" t="n">
        <f aca="false">Historicals!G19/1000</f>
        <v>12.267</v>
      </c>
      <c r="H35" s="31" t="n">
        <f aca="false">Historicals!H19/1000</f>
        <v>12.112</v>
      </c>
      <c r="I35" s="31" t="n">
        <f aca="false">Historicals!I19/1000</f>
        <v>8.696</v>
      </c>
      <c r="J35" s="31" t="n">
        <f aca="false">Historicals!J19/1000</f>
        <v>11.84</v>
      </c>
      <c r="K35" s="55" t="n">
        <f aca="false">Inputs!$E$31</f>
        <v>9</v>
      </c>
      <c r="L35" s="55" t="n">
        <f aca="false">Inputs!$E$31</f>
        <v>9</v>
      </c>
      <c r="M35" s="55" t="n">
        <f aca="false">Inputs!$E$31</f>
        <v>9</v>
      </c>
      <c r="N35" s="55" t="n">
        <f aca="false">Inputs!$E$31</f>
        <v>9</v>
      </c>
      <c r="O35" s="55" t="n">
        <f aca="false">Inputs!$E$31</f>
        <v>9</v>
      </c>
      <c r="P35" s="55" t="n">
        <f aca="false">Inputs!$E$31</f>
        <v>9</v>
      </c>
      <c r="R35" s="31" t="n">
        <f aca="false">SUM(E35:H35)</f>
        <v>44.27</v>
      </c>
      <c r="S35" s="55" t="n">
        <f aca="false">SUM(I35:L35)</f>
        <v>38.536</v>
      </c>
      <c r="T35" s="55" t="n">
        <f aca="false">SUM(M35:P35)</f>
        <v>36</v>
      </c>
      <c r="U35" s="55" t="n">
        <f aca="false">4*Inputs!$E$31</f>
        <v>36</v>
      </c>
      <c r="V35" s="55" t="n">
        <f aca="false">4*Inputs!$E$31</f>
        <v>36</v>
      </c>
    </row>
    <row r="36" customFormat="false" ht="15" hidden="false" customHeight="false" outlineLevel="0" collapsed="false">
      <c r="A36" s="4" t="s">
        <v>53</v>
      </c>
      <c r="B36" s="13" t="s">
        <v>135</v>
      </c>
      <c r="C36" s="31" t="n">
        <f aca="false">-Historicals!C20/1000</f>
        <v>-7.707</v>
      </c>
      <c r="D36" s="31" t="n">
        <f aca="false">-Historicals!D20/1000</f>
        <v>-7.683</v>
      </c>
      <c r="E36" s="31" t="n">
        <f aca="false">-Historicals!E20/1000</f>
        <v>-7.686</v>
      </c>
      <c r="F36" s="31" t="n">
        <f aca="false">-Historicals!F20/1000</f>
        <v>-7.696</v>
      </c>
      <c r="G36" s="31" t="n">
        <f aca="false">-Historicals!G20/1000</f>
        <v>-10.182</v>
      </c>
      <c r="H36" s="31" t="n">
        <f aca="false">-Historicals!H20/1000</f>
        <v>-7.88</v>
      </c>
      <c r="I36" s="31" t="n">
        <f aca="false">-Historicals!I20/1000</f>
        <v>-3.57</v>
      </c>
      <c r="J36" s="31" t="n">
        <f aca="false">-Historicals!J20/1000</f>
        <v>-3.622</v>
      </c>
      <c r="K36" s="55" t="n">
        <f aca="false">-Inputs!$E$32</f>
        <v>-3.6</v>
      </c>
      <c r="L36" s="55" t="n">
        <f aca="false">-Inputs!$E$32</f>
        <v>-3.6</v>
      </c>
      <c r="M36" s="55" t="n">
        <f aca="false">-Inputs!$E$32</f>
        <v>-3.6</v>
      </c>
      <c r="N36" s="55" t="n">
        <f aca="false">-Inputs!$E$32</f>
        <v>-3.6</v>
      </c>
      <c r="O36" s="55" t="n">
        <f aca="false">-Inputs!$E$32</f>
        <v>-3.6</v>
      </c>
      <c r="P36" s="55" t="n">
        <f aca="false">-Inputs!$E$32</f>
        <v>-3.6</v>
      </c>
      <c r="R36" s="31" t="n">
        <f aca="false">SUM(E36:H36)</f>
        <v>-33.444</v>
      </c>
      <c r="S36" s="55" t="n">
        <f aca="false">SUM(I36:L36)</f>
        <v>-14.392</v>
      </c>
      <c r="T36" s="55" t="n">
        <f aca="false">SUM(M36:P36)</f>
        <v>-14.4</v>
      </c>
      <c r="U36" s="55" t="n">
        <f aca="false">-4*Inputs!$E$32</f>
        <v>-14.4</v>
      </c>
      <c r="V36" s="55" t="n">
        <f aca="false">-4*Inputs!$E$32</f>
        <v>-14.4</v>
      </c>
    </row>
    <row r="37" customFormat="false" ht="15" hidden="false" customHeight="false" outlineLevel="0" collapsed="false">
      <c r="A37" s="3" t="s">
        <v>409</v>
      </c>
      <c r="B37" s="13" t="s">
        <v>135</v>
      </c>
      <c r="C37" s="42" t="n">
        <f aca="false">C33+C34+C35+C36</f>
        <v>132.947</v>
      </c>
      <c r="D37" s="42" t="n">
        <f aca="false">D33+D34+D35+D36</f>
        <v>-170.286</v>
      </c>
      <c r="E37" s="42" t="n">
        <f aca="false">E33+E34+E35+E36</f>
        <v>178.027</v>
      </c>
      <c r="F37" s="42" t="n">
        <f aca="false">F33+F34+F35+F36</f>
        <v>130.167</v>
      </c>
      <c r="G37" s="42" t="n">
        <f aca="false">G33+G34+G35+G36</f>
        <v>491.549</v>
      </c>
      <c r="H37" s="42" t="n">
        <f aca="false">H33+H34+H35+H36</f>
        <v>-341.012</v>
      </c>
      <c r="I37" s="42" t="n">
        <f aca="false">I33+I34+I35+I36</f>
        <v>42.097</v>
      </c>
      <c r="J37" s="42" t="n">
        <f aca="false">J33+J34+J35+J36</f>
        <v>95.275</v>
      </c>
      <c r="K37" s="56" t="n">
        <f aca="false">K33+K34+K35+K36</f>
        <v>-18.5168805200387</v>
      </c>
      <c r="L37" s="56" t="n">
        <f aca="false">L33+L34+L35+L36</f>
        <v>-152.660965912493</v>
      </c>
      <c r="M37" s="56" t="n">
        <f aca="false">M33+M34+M35+M36</f>
        <v>-45.6540278173602</v>
      </c>
      <c r="N37" s="56" t="n">
        <f aca="false">N33+N34+N35+N36</f>
        <v>-2.02510365625935</v>
      </c>
      <c r="O37" s="56" t="n">
        <f aca="false">O33+O34+O35+O36</f>
        <v>-44.7981785992156</v>
      </c>
      <c r="P37" s="56" t="n">
        <f aca="false">P33+P34+P35+P36</f>
        <v>-174.310257246358</v>
      </c>
      <c r="R37" s="42" t="n">
        <f aca="false">R33+R34+R35+R36</f>
        <v>458.731</v>
      </c>
      <c r="S37" s="56" t="n">
        <f aca="false">S33+S34+S35+S36</f>
        <v>-33.805846432532</v>
      </c>
      <c r="T37" s="56" t="n">
        <f aca="false">T33+T34+T35+T36</f>
        <v>-266.787567319194</v>
      </c>
      <c r="U37" s="56" t="n">
        <f aca="false">U33+U34+U35+U36</f>
        <v>-339.201763095493</v>
      </c>
      <c r="V37" s="56" t="n">
        <f aca="false">V33+V34+V35+V36</f>
        <v>-411.295627589517</v>
      </c>
    </row>
    <row r="38" customFormat="false" ht="15" hidden="false" customHeight="false" outlineLevel="0" collapsed="false">
      <c r="A38" s="4" t="s">
        <v>410</v>
      </c>
      <c r="B38" s="13" t="s">
        <v>135</v>
      </c>
      <c r="C38" s="31" t="n">
        <f aca="false">-Historicals!C21/1000</f>
        <v>-16.98</v>
      </c>
      <c r="D38" s="31" t="n">
        <f aca="false">-Historicals!D21/1000</f>
        <v>51.857</v>
      </c>
      <c r="E38" s="31" t="n">
        <f aca="false">-Historicals!E21/1000</f>
        <v>-47.23</v>
      </c>
      <c r="F38" s="31" t="n">
        <f aca="false">-Historicals!F21/1000</f>
        <v>-24.422</v>
      </c>
      <c r="G38" s="31" t="n">
        <f aca="false">-Historicals!G21/1000</f>
        <v>-116.384</v>
      </c>
      <c r="H38" s="31" t="n">
        <f aca="false">-Historicals!H21/1000</f>
        <v>58.459</v>
      </c>
      <c r="I38" s="31" t="n">
        <f aca="false">-Historicals!I21/1000</f>
        <v>-17.974</v>
      </c>
      <c r="J38" s="31" t="n">
        <f aca="false">-Historicals!J21/1000</f>
        <v>-16.294</v>
      </c>
      <c r="K38" s="55" t="n">
        <f aca="false">-K37*Inputs!$E$29</f>
        <v>4.25888251960891</v>
      </c>
      <c r="L38" s="55" t="n">
        <f aca="false">-L37*Inputs!$E$29</f>
        <v>35.1120221598735</v>
      </c>
      <c r="M38" s="55" t="n">
        <f aca="false">-M37*Inputs!$E$29</f>
        <v>10.5004263979929</v>
      </c>
      <c r="N38" s="55" t="n">
        <f aca="false">-N37*Inputs!$E$29</f>
        <v>0.465773840939651</v>
      </c>
      <c r="O38" s="55" t="n">
        <f aca="false">-O37*Inputs!$E$29</f>
        <v>10.3035810778196</v>
      </c>
      <c r="P38" s="55" t="n">
        <f aca="false">-P37*Inputs!$E$29</f>
        <v>40.0913591666624</v>
      </c>
      <c r="R38" s="31" t="n">
        <f aca="false">SUM(E38:H38)</f>
        <v>-129.577</v>
      </c>
      <c r="S38" s="55" t="n">
        <f aca="false">SUM(I38:L38)</f>
        <v>5.10290467948236</v>
      </c>
      <c r="T38" s="55" t="n">
        <f aca="false">SUM(M38:P38)</f>
        <v>61.3611404834145</v>
      </c>
      <c r="U38" s="55" t="n">
        <f aca="false">-U37*Inputs!$E$29</f>
        <v>78.0164055119633</v>
      </c>
      <c r="V38" s="55" t="n">
        <f aca="false">-V37*Inputs!$E$29</f>
        <v>94.5979943455889</v>
      </c>
    </row>
    <row r="39" customFormat="false" ht="15" hidden="false" customHeight="false" outlineLevel="0" collapsed="false">
      <c r="A39" s="4" t="s">
        <v>411</v>
      </c>
      <c r="B39" s="13" t="s">
        <v>135</v>
      </c>
      <c r="C39" s="31" t="n">
        <f aca="false">C37+C38</f>
        <v>115.967</v>
      </c>
      <c r="D39" s="31" t="n">
        <f aca="false">D37+D38</f>
        <v>-118.429</v>
      </c>
      <c r="E39" s="31" t="n">
        <f aca="false">E37+E38</f>
        <v>130.797</v>
      </c>
      <c r="F39" s="31" t="n">
        <f aca="false">F37+F38</f>
        <v>105.745</v>
      </c>
      <c r="G39" s="31" t="n">
        <f aca="false">G37+G38</f>
        <v>375.165</v>
      </c>
      <c r="H39" s="31" t="n">
        <f aca="false">H37+H38</f>
        <v>-282.553</v>
      </c>
      <c r="I39" s="31" t="n">
        <f aca="false">I37+I38</f>
        <v>24.123</v>
      </c>
      <c r="J39" s="31" t="n">
        <f aca="false">J37+J38</f>
        <v>78.981</v>
      </c>
      <c r="K39" s="55" t="n">
        <f aca="false">K37+K38</f>
        <v>-14.2579980004298</v>
      </c>
      <c r="L39" s="55" t="n">
        <f aca="false">L37+L38</f>
        <v>-117.54894375262</v>
      </c>
      <c r="M39" s="55" t="n">
        <f aca="false">M37+M38</f>
        <v>-35.1536014193674</v>
      </c>
      <c r="N39" s="55" t="n">
        <f aca="false">N37+N38</f>
        <v>-1.5593298153197</v>
      </c>
      <c r="O39" s="55" t="n">
        <f aca="false">O37+O38</f>
        <v>-34.494597521396</v>
      </c>
      <c r="P39" s="55" t="n">
        <f aca="false">P37+P38</f>
        <v>-134.218898079696</v>
      </c>
      <c r="R39" s="31" t="n">
        <f aca="false">R37+R38</f>
        <v>329.154</v>
      </c>
      <c r="S39" s="55" t="n">
        <f aca="false">S37+S38</f>
        <v>-28.7029417530496</v>
      </c>
      <c r="T39" s="55" t="n">
        <f aca="false">T37+T38</f>
        <v>-205.426426835779</v>
      </c>
      <c r="U39" s="55" t="n">
        <f aca="false">U37+U38</f>
        <v>-261.185357583529</v>
      </c>
      <c r="V39" s="55" t="n">
        <f aca="false">V37+V38</f>
        <v>-316.697633243928</v>
      </c>
    </row>
    <row r="40" customFormat="false" ht="15" hidden="false" customHeight="false" outlineLevel="0" collapsed="false">
      <c r="A40" s="4" t="s">
        <v>412</v>
      </c>
      <c r="B40" s="13" t="s">
        <v>135</v>
      </c>
      <c r="C40" s="31" t="n">
        <f aca="false">Historicals!C22/1000</f>
        <v>3.073</v>
      </c>
      <c r="D40" s="31" t="n">
        <f aca="false">Historicals!D22/1000</f>
        <v>1.538</v>
      </c>
      <c r="E40" s="31" t="n">
        <f aca="false">Historicals!E22/1000</f>
        <v>2.307</v>
      </c>
      <c r="F40" s="31" t="n">
        <f aca="false">Historicals!F22/1000</f>
        <v>1.824</v>
      </c>
      <c r="G40" s="31" t="n">
        <f aca="false">Historicals!G22/1000</f>
        <v>2.201</v>
      </c>
      <c r="H40" s="31" t="n">
        <f aca="false">Historicals!H22/1000</f>
        <v>3.252</v>
      </c>
      <c r="I40" s="31" t="n">
        <f aca="false">Historicals!I22/1000</f>
        <v>0.65</v>
      </c>
      <c r="J40" s="31" t="n">
        <f aca="false">Historicals!J22/1000</f>
        <v>0.824</v>
      </c>
      <c r="K40" s="55" t="n">
        <f aca="false">-K29*Inputs!$E$35</f>
        <v>1.11005</v>
      </c>
      <c r="L40" s="55" t="n">
        <f aca="false">-L29*Inputs!$E$35</f>
        <v>1.11005</v>
      </c>
      <c r="M40" s="55" t="n">
        <f aca="false">-M29*Inputs!$E$35</f>
        <v>1</v>
      </c>
      <c r="N40" s="55" t="n">
        <f aca="false">-N29*Inputs!$E$35</f>
        <v>1</v>
      </c>
      <c r="O40" s="55" t="n">
        <f aca="false">-O29*Inputs!$E$35</f>
        <v>1</v>
      </c>
      <c r="P40" s="55" t="n">
        <f aca="false">-P29*Inputs!$E$35</f>
        <v>1</v>
      </c>
      <c r="R40" s="31" t="n">
        <f aca="false">SUM(E40:H40)</f>
        <v>9.584</v>
      </c>
      <c r="S40" s="55" t="n">
        <f aca="false">SUM(I40:L40)</f>
        <v>3.6941</v>
      </c>
      <c r="T40" s="55" t="n">
        <f aca="false">SUM(M40:P40)</f>
        <v>4</v>
      </c>
      <c r="U40" s="55" t="n">
        <f aca="false">-U29*Inputs!$E$35</f>
        <v>3.75</v>
      </c>
      <c r="V40" s="55" t="n">
        <f aca="false">-V29*Inputs!$E$35</f>
        <v>3.5</v>
      </c>
    </row>
    <row r="41" customFormat="false" ht="15" hidden="false" customHeight="false" outlineLevel="0" collapsed="false">
      <c r="A41" s="3" t="s">
        <v>413</v>
      </c>
      <c r="B41" s="13" t="s">
        <v>135</v>
      </c>
      <c r="C41" s="42" t="n">
        <f aca="false">C39+C40</f>
        <v>119.04</v>
      </c>
      <c r="D41" s="42" t="n">
        <f aca="false">D39+D40</f>
        <v>-116.891</v>
      </c>
      <c r="E41" s="42" t="n">
        <f aca="false">E39+E40</f>
        <v>133.104</v>
      </c>
      <c r="F41" s="42" t="n">
        <f aca="false">F39+F40</f>
        <v>107.569</v>
      </c>
      <c r="G41" s="42" t="n">
        <f aca="false">G39+G40</f>
        <v>377.366</v>
      </c>
      <c r="H41" s="42" t="n">
        <f aca="false">H39+H40</f>
        <v>-279.301</v>
      </c>
      <c r="I41" s="42" t="n">
        <f aca="false">I39+I40</f>
        <v>24.773</v>
      </c>
      <c r="J41" s="42" t="n">
        <f aca="false">J39+J40</f>
        <v>79.805</v>
      </c>
      <c r="K41" s="56" t="n">
        <f aca="false">K39+K40</f>
        <v>-13.1479480004298</v>
      </c>
      <c r="L41" s="56" t="n">
        <f aca="false">L39+L40</f>
        <v>-116.43889375262</v>
      </c>
      <c r="M41" s="56" t="n">
        <f aca="false">M39+M40</f>
        <v>-34.1536014193674</v>
      </c>
      <c r="N41" s="56" t="n">
        <f aca="false">N39+N40</f>
        <v>-0.559329815319702</v>
      </c>
      <c r="O41" s="56" t="n">
        <f aca="false">O39+O40</f>
        <v>-33.494597521396</v>
      </c>
      <c r="P41" s="56" t="n">
        <f aca="false">P39+P40</f>
        <v>-133.218898079696</v>
      </c>
      <c r="R41" s="42" t="n">
        <f aca="false">R39+R40</f>
        <v>338.738</v>
      </c>
      <c r="S41" s="56" t="n">
        <f aca="false">S39+S40</f>
        <v>-25.0088417530496</v>
      </c>
      <c r="T41" s="56" t="n">
        <f aca="false">T39+T40</f>
        <v>-201.426426835779</v>
      </c>
      <c r="U41" s="56" t="n">
        <f aca="false">U39+U40</f>
        <v>-257.435357583529</v>
      </c>
      <c r="V41" s="56" t="n">
        <f aca="false">V39+V40</f>
        <v>-313.197633243928</v>
      </c>
    </row>
    <row r="42" customFormat="false" ht="15" hidden="false" customHeight="false" outlineLevel="0" collapsed="false">
      <c r="A42" s="4" t="s">
        <v>414</v>
      </c>
      <c r="B42" s="13" t="s">
        <v>120</v>
      </c>
      <c r="C42" s="57" t="n">
        <f aca="false">Historicals!C23/1000</f>
        <v>130.963</v>
      </c>
      <c r="D42" s="57" t="n">
        <f aca="false">Historicals!D23/1000</f>
        <v>126.264</v>
      </c>
      <c r="E42" s="57" t="n">
        <f aca="false">Historicals!E23/1000</f>
        <v>124.724</v>
      </c>
      <c r="F42" s="57" t="n">
        <f aca="false">Historicals!F23/1000</f>
        <v>122.203</v>
      </c>
      <c r="G42" s="57" t="n">
        <f aca="false">Historicals!G23/1000</f>
        <v>121.676</v>
      </c>
      <c r="H42" s="57" t="n">
        <f aca="false">Historicals!H23/1000</f>
        <v>114.311</v>
      </c>
      <c r="I42" s="57" t="n">
        <f aca="false">Historicals!I23/1000</f>
        <v>110.768</v>
      </c>
      <c r="J42" s="57" t="n">
        <f aca="false">Historicals!J23/1000</f>
        <v>108.568</v>
      </c>
      <c r="K42" s="58" t="n">
        <f aca="false">J42-Inputs!$D$92/Inputs!$E$5</f>
        <v>107.640356215213</v>
      </c>
      <c r="L42" s="58" t="n">
        <f aca="false">K42-Inputs!$D$92/Inputs!$E$5</f>
        <v>106.712712430427</v>
      </c>
      <c r="M42" s="58" t="n">
        <f aca="false">L42-Inputs!$D$92/Inputs!$E$5</f>
        <v>105.78506864564</v>
      </c>
      <c r="N42" s="58" t="n">
        <f aca="false">M42-Inputs!$D$92/Inputs!$E$5</f>
        <v>104.857424860853</v>
      </c>
      <c r="O42" s="58" t="n">
        <f aca="false">N42-Inputs!$D$92/Inputs!$E$5</f>
        <v>103.929781076067</v>
      </c>
      <c r="P42" s="58" t="n">
        <f aca="false">O42-Inputs!$D$92/Inputs!$E$5</f>
        <v>103.00213729128</v>
      </c>
      <c r="R42" s="57" t="n">
        <f aca="false">AVERAGE(E42:H42)</f>
        <v>120.7285</v>
      </c>
      <c r="S42" s="58" t="n">
        <f aca="false">AVERAGE(I42:L42)</f>
        <v>108.42226716141</v>
      </c>
      <c r="T42" s="58" t="n">
        <f aca="false">AVERAGE(M42:P42)</f>
        <v>104.39360296846</v>
      </c>
      <c r="U42" s="58" t="n">
        <f aca="false">T42-4*Inputs!$D$92/Inputs!$E$5</f>
        <v>100.683027829314</v>
      </c>
      <c r="V42" s="58" t="n">
        <f aca="false">U42-4*Inputs!$D$92/Inputs!$E$5</f>
        <v>96.972452690167</v>
      </c>
    </row>
    <row r="43" customFormat="false" ht="15" hidden="false" customHeight="false" outlineLevel="0" collapsed="false">
      <c r="A43" s="3" t="s">
        <v>415</v>
      </c>
      <c r="B43" s="13" t="s">
        <v>59</v>
      </c>
      <c r="C43" s="5" t="n">
        <f aca="false">C41/C42</f>
        <v>0.908959018959553</v>
      </c>
      <c r="D43" s="5" t="n">
        <f aca="false">D41/D42</f>
        <v>-0.925766647658874</v>
      </c>
      <c r="E43" s="5" t="n">
        <f aca="false">E41/E42</f>
        <v>1.06718835188095</v>
      </c>
      <c r="F43" s="5" t="n">
        <f aca="false">F41/F42</f>
        <v>0.88024843907269</v>
      </c>
      <c r="G43" s="5" t="n">
        <f aca="false">G41/G42</f>
        <v>3.10140044051415</v>
      </c>
      <c r="H43" s="5" t="n">
        <f aca="false">H41/H42</f>
        <v>-2.44334316032578</v>
      </c>
      <c r="I43" s="5" t="n">
        <f aca="false">I41/I42</f>
        <v>0.223647623862487</v>
      </c>
      <c r="J43" s="5" t="n">
        <f aca="false">J41/J42</f>
        <v>0.735069265345221</v>
      </c>
      <c r="K43" s="59" t="n">
        <f aca="false">K41/K42</f>
        <v>-0.122147013097413</v>
      </c>
      <c r="L43" s="59" t="n">
        <f aca="false">L41/L42</f>
        <v>-1.09114360511204</v>
      </c>
      <c r="M43" s="59" t="n">
        <f aca="false">M41/M42</f>
        <v>-0.322858432259239</v>
      </c>
      <c r="N43" s="59" t="n">
        <f aca="false">N41/N42</f>
        <v>-0.00533419370218119</v>
      </c>
      <c r="O43" s="59" t="n">
        <f aca="false">O41/O42</f>
        <v>-0.322281036047609</v>
      </c>
      <c r="P43" s="59" t="n">
        <f aca="false">P41/P42</f>
        <v>-1.29336052224786</v>
      </c>
      <c r="R43" s="5" t="n">
        <f aca="false">R41/R42</f>
        <v>2.80578322434222</v>
      </c>
      <c r="S43" s="59" t="n">
        <f aca="false">S41/S42</f>
        <v>-0.230661490557272</v>
      </c>
      <c r="T43" s="59" t="n">
        <f aca="false">T41/T42</f>
        <v>-1.92949013261507</v>
      </c>
      <c r="U43" s="59" t="n">
        <f aca="false">U41/U42</f>
        <v>-2.55688931028133</v>
      </c>
      <c r="V43" s="59" t="n">
        <f aca="false">V41/V42</f>
        <v>-3.22975880835575</v>
      </c>
    </row>
    <row r="44" customFormat="false" ht="15" hidden="false" customHeight="false" outlineLevel="0" collapsed="false">
      <c r="A44" s="4" t="s">
        <v>416</v>
      </c>
      <c r="B44" s="13" t="s">
        <v>59</v>
      </c>
      <c r="C44" s="43" t="n">
        <f aca="false">Historicals!C24</f>
        <v>0.91</v>
      </c>
      <c r="D44" s="43" t="n">
        <f aca="false">Historicals!D24</f>
        <v>-0.93</v>
      </c>
      <c r="E44" s="43" t="n">
        <f aca="false">Historicals!E24</f>
        <v>1.07</v>
      </c>
      <c r="F44" s="43" t="n">
        <f aca="false">Historicals!F24</f>
        <v>0.88</v>
      </c>
      <c r="G44" s="43" t="n">
        <f aca="false">Historicals!G24</f>
        <v>3.1</v>
      </c>
      <c r="H44" s="43" t="n">
        <f aca="false">Historicals!H24</f>
        <v>-2.44</v>
      </c>
      <c r="I44" s="43" t="n">
        <f aca="false">Historicals!I24</f>
        <v>0.22</v>
      </c>
      <c r="J44" s="43" t="n">
        <f aca="false">Historicals!J24</f>
        <v>0.75</v>
      </c>
    </row>
    <row r="45" customFormat="false" ht="15" hidden="false" customHeight="false" outlineLevel="0" collapsed="false">
      <c r="A45" s="4" t="s">
        <v>60</v>
      </c>
      <c r="B45" s="13" t="s">
        <v>59</v>
      </c>
      <c r="C45" s="60" t="n">
        <f aca="false">Historicals!C25</f>
        <v>0.1725</v>
      </c>
      <c r="D45" s="60" t="n">
        <f aca="false">Historicals!D25</f>
        <v>0.1725</v>
      </c>
      <c r="E45" s="60" t="n">
        <f aca="false">Historicals!E25</f>
        <v>0.18</v>
      </c>
      <c r="F45" s="60" t="n">
        <f aca="false">Historicals!F25</f>
        <v>0.18</v>
      </c>
      <c r="G45" s="60" t="n">
        <f aca="false">Historicals!G25</f>
        <v>0.18</v>
      </c>
      <c r="H45" s="60" t="n">
        <f aca="false">Historicals!H25</f>
        <v>0.18</v>
      </c>
      <c r="I45" s="60" t="n">
        <f aca="false">Historicals!I25</f>
        <v>0.1875</v>
      </c>
      <c r="J45" s="60" t="n">
        <f aca="false">Historicals!J25</f>
        <v>0.1875</v>
      </c>
      <c r="K45" s="61" t="n">
        <f aca="false">J45</f>
        <v>0.1875</v>
      </c>
      <c r="L45" s="61" t="n">
        <f aca="false">J45</f>
        <v>0.1875</v>
      </c>
      <c r="M45" s="61" t="n">
        <f aca="false">$J45*(1+Inputs!$E$45)</f>
        <v>0.195</v>
      </c>
      <c r="N45" s="61" t="n">
        <f aca="false">$J45*(1+Inputs!$E$45)</f>
        <v>0.195</v>
      </c>
      <c r="O45" s="61" t="n">
        <f aca="false">$J45*(1+Inputs!$E$45)</f>
        <v>0.195</v>
      </c>
      <c r="P45" s="61" t="n">
        <f aca="false">$J45*(1+Inputs!$E$45)</f>
        <v>0.195</v>
      </c>
      <c r="R45" s="60" t="n">
        <f aca="false">SUM(E45:H45)</f>
        <v>0.72</v>
      </c>
      <c r="S45" s="61" t="n">
        <f aca="false">SUM(I45:L45)</f>
        <v>0.75</v>
      </c>
      <c r="T45" s="61" t="n">
        <f aca="false">SUM(M45:P45)</f>
        <v>0.78</v>
      </c>
      <c r="U45" s="61" t="n">
        <f aca="false">T45*(1+Inputs!$E$45)</f>
        <v>0.8112</v>
      </c>
      <c r="V45" s="61" t="n">
        <f aca="false">U45*(1+Inputs!$E$45)</f>
        <v>0.843648</v>
      </c>
    </row>
    <row r="47" customFormat="false" ht="15" hidden="false" customHeight="false" outlineLevel="0" collapsed="false">
      <c r="A47" s="16" t="s">
        <v>417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R47" s="17"/>
      <c r="S47" s="17"/>
      <c r="T47" s="17"/>
      <c r="U47" s="17"/>
      <c r="V47" s="17"/>
    </row>
    <row r="48" customFormat="false" ht="15" hidden="false" customHeight="false" outlineLevel="0" collapsed="false">
      <c r="A48" s="4" t="s">
        <v>418</v>
      </c>
      <c r="B48" s="13" t="s">
        <v>135</v>
      </c>
      <c r="C48" s="31" t="n">
        <f aca="false">Historicals!C57/1000</f>
        <v>39.19</v>
      </c>
      <c r="D48" s="31" t="n">
        <f aca="false">Historicals!D57/1000</f>
        <v>41.11</v>
      </c>
      <c r="E48" s="31" t="n">
        <f aca="false">Historicals!E57/1000</f>
        <v>41.7</v>
      </c>
      <c r="F48" s="31" t="n">
        <f aca="false">Historicals!F57/1000</f>
        <v>40.43</v>
      </c>
      <c r="G48" s="31" t="n">
        <f aca="false">Historicals!G57/1000</f>
        <v>44.21</v>
      </c>
      <c r="H48" s="31" t="n">
        <f aca="false">Historicals!H57/1000</f>
        <v>46.03</v>
      </c>
      <c r="I48" s="31" t="n">
        <f aca="false">Historicals!I57/1000</f>
        <v>44.14</v>
      </c>
      <c r="J48" s="31" t="n">
        <f aca="false">Historicals!J57/1000</f>
        <v>42.56</v>
      </c>
      <c r="K48" s="55" t="n">
        <f aca="false">Inputs!$E$33</f>
        <v>43</v>
      </c>
      <c r="L48" s="55" t="n">
        <f aca="false">Inputs!$E$33</f>
        <v>43</v>
      </c>
      <c r="M48" s="55" t="n">
        <f aca="false">Inputs!$E$33</f>
        <v>43</v>
      </c>
      <c r="N48" s="55" t="n">
        <f aca="false">Inputs!$E$33</f>
        <v>43</v>
      </c>
      <c r="O48" s="55" t="n">
        <f aca="false">Inputs!$E$33</f>
        <v>43</v>
      </c>
      <c r="P48" s="55" t="n">
        <f aca="false">Inputs!$E$33</f>
        <v>43</v>
      </c>
      <c r="R48" s="31" t="n">
        <f aca="false">SUM(E48:H48)</f>
        <v>172.37</v>
      </c>
      <c r="S48" s="55" t="n">
        <f aca="false">SUM(I48:L48)</f>
        <v>172.7</v>
      </c>
      <c r="T48" s="55" t="n">
        <f aca="false">SUM(M48:P48)</f>
        <v>172</v>
      </c>
      <c r="U48" s="55" t="n">
        <f aca="false">4*Inputs!$E$33</f>
        <v>172</v>
      </c>
      <c r="V48" s="55" t="n">
        <f aca="false">4*Inputs!$E$33</f>
        <v>172</v>
      </c>
    </row>
    <row r="49" customFormat="false" ht="15" hidden="false" customHeight="false" outlineLevel="0" collapsed="false">
      <c r="A49" s="3" t="s">
        <v>419</v>
      </c>
      <c r="B49" s="13" t="s">
        <v>135</v>
      </c>
      <c r="C49" s="42" t="n">
        <f aca="false">C26+C29+C48</f>
        <v>68.242</v>
      </c>
      <c r="D49" s="42" t="n">
        <f aca="false">D26+D29+D48</f>
        <v>-198.678</v>
      </c>
      <c r="E49" s="42" t="n">
        <f aca="false">E26+E29+E48</f>
        <v>138.163</v>
      </c>
      <c r="F49" s="42" t="n">
        <f aca="false">F26+F29+F48</f>
        <v>83.093</v>
      </c>
      <c r="G49" s="42" t="n">
        <f aca="false">G26+G29+G48</f>
        <v>80.148</v>
      </c>
      <c r="H49" s="42" t="n">
        <f aca="false">H26+H29+H48</f>
        <v>-232.781</v>
      </c>
      <c r="I49" s="42" t="n">
        <f aca="false">I26+I29+I48</f>
        <v>45.394</v>
      </c>
      <c r="J49" s="42" t="n">
        <f aca="false">J26+J29+J48</f>
        <v>96.971</v>
      </c>
      <c r="K49" s="56" t="n">
        <f aca="false">K26+K29+K48</f>
        <v>1.50261947996128</v>
      </c>
      <c r="L49" s="56" t="n">
        <f aca="false">L26+L29+L48</f>
        <v>-132.641465912493</v>
      </c>
      <c r="M49" s="56" t="n">
        <f aca="false">M26+M29+M48</f>
        <v>-32.5540278173602</v>
      </c>
      <c r="N49" s="56" t="n">
        <f aca="false">N26+N29+N48</f>
        <v>11.0748963437406</v>
      </c>
      <c r="O49" s="56" t="n">
        <f aca="false">O26+O29+O48</f>
        <v>-31.6981785992156</v>
      </c>
      <c r="P49" s="56" t="n">
        <f aca="false">P26+P29+P48</f>
        <v>-161.210257246358</v>
      </c>
      <c r="R49" s="42" t="n">
        <f aca="false">R26+R29+R48</f>
        <v>68.6229999999999</v>
      </c>
      <c r="S49" s="56" t="n">
        <f aca="false">S26+S29+S48</f>
        <v>11.226153567468</v>
      </c>
      <c r="T49" s="56" t="n">
        <f aca="false">T26+T29+T48</f>
        <v>-214.387567319194</v>
      </c>
      <c r="U49" s="56" t="n">
        <f aca="false">U26+U29+U48</f>
        <v>-286.801763095493</v>
      </c>
      <c r="V49" s="56" t="n">
        <f aca="false">V26+V29+V48</f>
        <v>-358.895627589517</v>
      </c>
    </row>
    <row r="50" customFormat="false" ht="15" hidden="false" customHeight="false" outlineLevel="0" collapsed="false">
      <c r="A50" s="4" t="s">
        <v>420</v>
      </c>
      <c r="B50" s="13" t="s">
        <v>135</v>
      </c>
      <c r="C50" s="31" t="n">
        <f aca="false">C33+C48</f>
        <v>144.986</v>
      </c>
      <c r="D50" s="31" t="n">
        <f aca="false">D33+D48</f>
        <v>-152.238</v>
      </c>
      <c r="E50" s="31" t="n">
        <f aca="false">E33+E48</f>
        <v>202.199</v>
      </c>
      <c r="F50" s="31" t="n">
        <f aca="false">F33+F48</f>
        <v>152.866</v>
      </c>
      <c r="G50" s="31" t="n">
        <f aca="false">G33+G48</f>
        <v>518.968</v>
      </c>
      <c r="H50" s="31" t="n">
        <f aca="false">H33+H48</f>
        <v>-315.028</v>
      </c>
      <c r="I50" s="31" t="n">
        <f aca="false">I33+I48</f>
        <v>67.634</v>
      </c>
      <c r="J50" s="31" t="n">
        <f aca="false">J33+J48</f>
        <v>118.57</v>
      </c>
      <c r="K50" s="55" t="n">
        <f aca="false">K33+K48</f>
        <v>7.08311947996128</v>
      </c>
      <c r="L50" s="55" t="n">
        <f aca="false">L33+L48</f>
        <v>-127.060965912493</v>
      </c>
      <c r="M50" s="55" t="n">
        <f aca="false">M33+M48</f>
        <v>-20.0540278173602</v>
      </c>
      <c r="N50" s="55" t="n">
        <f aca="false">N33+N48</f>
        <v>23.5748963437406</v>
      </c>
      <c r="O50" s="55" t="n">
        <f aca="false">O33+O48</f>
        <v>-19.1981785992156</v>
      </c>
      <c r="P50" s="55" t="n">
        <f aca="false">P33+P48</f>
        <v>-148.710257246358</v>
      </c>
      <c r="R50" s="31" t="n">
        <f aca="false">R33+R48</f>
        <v>559.005</v>
      </c>
      <c r="S50" s="55" t="n">
        <f aca="false">S33+S48</f>
        <v>66.226153567468</v>
      </c>
      <c r="T50" s="55" t="n">
        <f aca="false">T33+T48</f>
        <v>-164.387567319194</v>
      </c>
      <c r="U50" s="55" t="n">
        <f aca="false">U33+U48</f>
        <v>-236.801763095493</v>
      </c>
      <c r="V50" s="55" t="n">
        <f aca="false">V33+V48</f>
        <v>-308.895627589517</v>
      </c>
    </row>
    <row r="51" customFormat="false" ht="15" hidden="false" customHeight="false" outlineLevel="0" collapsed="false">
      <c r="A51" s="4" t="s">
        <v>421</v>
      </c>
      <c r="B51" s="13" t="s">
        <v>59</v>
      </c>
      <c r="S51" s="62" t="n">
        <f aca="false">Inputs!$E$7</f>
        <v>0.68</v>
      </c>
      <c r="T51" s="50"/>
      <c r="U51" s="50"/>
      <c r="V51" s="50"/>
    </row>
    <row r="52" customFormat="false" ht="15" hidden="false" customHeight="false" outlineLevel="0" collapsed="false">
      <c r="A52" s="4" t="s">
        <v>422</v>
      </c>
      <c r="B52" s="13" t="s">
        <v>73</v>
      </c>
      <c r="S52" s="51" t="n">
        <f aca="false">S43/S51-1</f>
        <v>-1.33920807434893</v>
      </c>
      <c r="T52" s="50"/>
      <c r="U52" s="50"/>
      <c r="V52" s="50"/>
    </row>
    <row r="53" customFormat="false" ht="15" hidden="false" customHeight="false" outlineLevel="0" collapsed="false">
      <c r="A53" s="4" t="s">
        <v>423</v>
      </c>
      <c r="B53" s="13"/>
      <c r="S53" s="63" t="str">
        <f aca="false">IF(AND(S26&gt;=Inputs!$E$24,S26&lt;=Inputs!$E$25),"Yes","No")</f>
        <v>No</v>
      </c>
      <c r="T53" s="50"/>
      <c r="U53" s="50"/>
      <c r="V53" s="50"/>
    </row>
    <row r="55" customFormat="false" ht="15" hidden="false" customHeight="false" outlineLevel="0" collapsed="false">
      <c r="A55" s="16" t="s">
        <v>74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R55" s="17"/>
      <c r="S55" s="17"/>
      <c r="T55" s="17"/>
      <c r="U55" s="17"/>
      <c r="V55" s="17"/>
    </row>
    <row r="56" customFormat="false" ht="15" hidden="false" customHeight="false" outlineLevel="0" collapsed="false">
      <c r="A56" s="4" t="s">
        <v>424</v>
      </c>
      <c r="B56" s="13" t="s">
        <v>135</v>
      </c>
      <c r="C56" s="31" t="n">
        <f aca="false">(Historicals!C38+Historicals!C39)/1000</f>
        <v>2391.82</v>
      </c>
      <c r="D56" s="31" t="n">
        <f aca="false">(Historicals!D38+Historicals!D39)/1000</f>
        <v>1725.269</v>
      </c>
      <c r="E56" s="31" t="n">
        <f aca="false">(Historicals!E38+Historicals!E39)/1000</f>
        <v>2081.307</v>
      </c>
      <c r="F56" s="31" t="n">
        <f aca="false">(Historicals!F38+Historicals!F39)/1000</f>
        <v>1737.446</v>
      </c>
      <c r="G56" s="31" t="n">
        <f aca="false">(Historicals!G38+Historicals!G39)/1000</f>
        <v>1826.568</v>
      </c>
      <c r="H56" s="31" t="n">
        <f aca="false">(Historicals!H38+Historicals!H39)/1000</f>
        <v>3091.744</v>
      </c>
      <c r="I56" s="31" t="n">
        <f aca="false">(Historicals!I38+Historicals!I39)/1000</f>
        <v>1805.068</v>
      </c>
      <c r="J56" s="31" t="n">
        <f aca="false">(Historicals!J38+Historicals!J39)/1000</f>
        <v>1895.789</v>
      </c>
      <c r="K56" s="55" t="n">
        <f aca="false">J56+K87</f>
        <v>1745.73058537148</v>
      </c>
      <c r="L56" s="55" t="n">
        <f aca="false">K56+L87</f>
        <v>1510.74156568228</v>
      </c>
      <c r="M56" s="55" t="n">
        <f aca="false">L56+M87</f>
        <v>1619.83938010987</v>
      </c>
      <c r="N56" s="55" t="n">
        <f aca="false">M56+N87</f>
        <v>1493.81076887791</v>
      </c>
      <c r="O56" s="55" t="n">
        <f aca="false">N56+O87</f>
        <v>1356.62411046963</v>
      </c>
      <c r="P56" s="55" t="n">
        <f aca="false">O56+P87</f>
        <v>1136.31571664183</v>
      </c>
      <c r="R56" s="31" t="n">
        <f aca="false">H56</f>
        <v>3091.744</v>
      </c>
      <c r="S56" s="55" t="n">
        <f aca="false">L56</f>
        <v>1510.74156568228</v>
      </c>
      <c r="T56" s="55" t="n">
        <f aca="false">P56</f>
        <v>1136.31571664183</v>
      </c>
      <c r="U56" s="55" t="n">
        <f aca="false">T56+U87</f>
        <v>726.91484068236</v>
      </c>
      <c r="V56" s="55" t="n">
        <f aca="false">U56+V87</f>
        <v>261.851745803752</v>
      </c>
    </row>
    <row r="57" customFormat="false" ht="15" hidden="false" customHeight="false" outlineLevel="0" collapsed="false">
      <c r="A57" s="4" t="s">
        <v>425</v>
      </c>
      <c r="B57" s="13" t="s">
        <v>135</v>
      </c>
      <c r="C57" s="31" t="n">
        <f aca="false">Historicals!C40/1000</f>
        <v>307.701</v>
      </c>
      <c r="D57" s="31" t="n">
        <f aca="false">Historicals!D40/1000</f>
        <v>234.315</v>
      </c>
      <c r="E57" s="31" t="n">
        <f aca="false">Historicals!E40/1000</f>
        <v>313.334</v>
      </c>
      <c r="F57" s="31" t="n">
        <f aca="false">Historicals!F40/1000</f>
        <v>325.756</v>
      </c>
      <c r="G57" s="31" t="n">
        <f aca="false">Historicals!G40/1000</f>
        <v>305.01</v>
      </c>
      <c r="H57" s="31" t="n">
        <f aca="false">Historicals!H40/1000</f>
        <v>225.76</v>
      </c>
      <c r="I57" s="31" t="n">
        <f aca="false">Historicals!I40/1000</f>
        <v>285.786</v>
      </c>
      <c r="J57" s="31" t="n">
        <f aca="false">Historicals!J40/1000</f>
        <v>301.788</v>
      </c>
      <c r="K57" s="55" t="n">
        <f aca="false">G57*($S$21/$R$21)</f>
        <v>317.899770586467</v>
      </c>
      <c r="L57" s="55" t="n">
        <f aca="false">H57*($S$21/$R$21)</f>
        <v>235.300653118261</v>
      </c>
      <c r="M57" s="55" t="n">
        <f aca="false">I57*($T$21/$S$21)</f>
        <v>258.054522430125</v>
      </c>
      <c r="N57" s="55" t="n">
        <f aca="false">J57*($T$21/$S$21)</f>
        <v>272.503755310416</v>
      </c>
      <c r="O57" s="55" t="n">
        <f aca="false">K57*($T$21/$S$21)</f>
        <v>287.052107098798</v>
      </c>
      <c r="P57" s="55" t="n">
        <f aca="false">L57*($T$21/$S$21)</f>
        <v>212.468062354102</v>
      </c>
      <c r="R57" s="31" t="n">
        <f aca="false">H57</f>
        <v>225.76</v>
      </c>
      <c r="S57" s="55" t="n">
        <f aca="false">L57</f>
        <v>235.300653118261</v>
      </c>
      <c r="T57" s="55" t="n">
        <f aca="false">P57</f>
        <v>212.468062354102</v>
      </c>
      <c r="U57" s="55" t="n">
        <f aca="false">T57*U21/T21</f>
        <v>206.665419751647</v>
      </c>
      <c r="V57" s="55" t="n">
        <f aca="false">U57*V21/U21</f>
        <v>201.010215165734</v>
      </c>
    </row>
    <row r="58" customFormat="false" ht="15" hidden="false" customHeight="false" outlineLevel="0" collapsed="false">
      <c r="A58" s="4" t="s">
        <v>426</v>
      </c>
      <c r="B58" s="13" t="s">
        <v>135</v>
      </c>
      <c r="C58" s="31" t="n">
        <f aca="false">(Historicals!C41+Historicals!C42+Historicals!C45)/1000</f>
        <v>7800.387</v>
      </c>
      <c r="D58" s="31" t="n">
        <f aca="false">(Historicals!D41+Historicals!D42+Historicals!D45)/1000</f>
        <v>7288.294</v>
      </c>
      <c r="E58" s="31" t="n">
        <f aca="false">(Historicals!E41+Historicals!E42+Historicals!E45)/1000</f>
        <v>7399.607</v>
      </c>
      <c r="F58" s="31" t="n">
        <f aca="false">(Historicals!F41+Historicals!F42+Historicals!F45)/1000</f>
        <v>7326.222</v>
      </c>
      <c r="G58" s="31" t="n">
        <f aca="false">(Historicals!G41+Historicals!G42+Historicals!G45)/1000</f>
        <v>5964.434</v>
      </c>
      <c r="H58" s="31" t="n">
        <f aca="false">(Historicals!H41+Historicals!H42+Historicals!H45)/1000</f>
        <v>1965.224</v>
      </c>
      <c r="I58" s="31" t="n">
        <f aca="false">(Historicals!I41+Historicals!I42+Historicals!I45)/1000</f>
        <v>2441.403</v>
      </c>
      <c r="J58" s="31" t="n">
        <f aca="false">(Historicals!J41+Historicals!J42+Historicals!J45)/1000</f>
        <v>2645.18</v>
      </c>
      <c r="K58" s="55" t="n">
        <f aca="false">J58*(1+Inputs!$E$44)^0.25</f>
        <v>2645.18</v>
      </c>
      <c r="L58" s="55" t="n">
        <f aca="false">K58*(1+Inputs!$E$44)^0.25</f>
        <v>2645.18</v>
      </c>
      <c r="M58" s="55" t="n">
        <f aca="false">L58*(1+Inputs!$E$44)^0.25</f>
        <v>2645.18</v>
      </c>
      <c r="N58" s="55" t="n">
        <f aca="false">M58*(1+Inputs!$E$44)^0.25</f>
        <v>2645.18</v>
      </c>
      <c r="O58" s="55" t="n">
        <f aca="false">N58*(1+Inputs!$E$44)^0.25</f>
        <v>2645.18</v>
      </c>
      <c r="P58" s="55" t="n">
        <f aca="false">O58*(1+Inputs!$E$44)^0.25</f>
        <v>2645.18</v>
      </c>
      <c r="R58" s="31" t="n">
        <f aca="false">H58</f>
        <v>1965.224</v>
      </c>
      <c r="S58" s="55" t="n">
        <f aca="false">L58</f>
        <v>2645.18</v>
      </c>
      <c r="T58" s="55" t="n">
        <f aca="false">P58</f>
        <v>2645.18</v>
      </c>
      <c r="U58" s="55" t="n">
        <f aca="false">T58*(1+Inputs!$E$44)</f>
        <v>2645.18</v>
      </c>
      <c r="V58" s="55" t="n">
        <f aca="false">U58*(1+Inputs!$E$44)</f>
        <v>2645.18</v>
      </c>
    </row>
    <row r="59" customFormat="false" ht="15" hidden="false" customHeight="false" outlineLevel="0" collapsed="false">
      <c r="A59" s="4" t="s">
        <v>427</v>
      </c>
      <c r="B59" s="13" t="s">
        <v>135</v>
      </c>
      <c r="C59" s="31" t="n">
        <f aca="false">Historicals!C43/1000</f>
        <v>681.864</v>
      </c>
      <c r="D59" s="31" t="n">
        <f aca="false">Historicals!D43/1000</f>
        <v>745.793</v>
      </c>
      <c r="E59" s="31" t="n">
        <f aca="false">Historicals!E43/1000</f>
        <v>712.312</v>
      </c>
      <c r="F59" s="31" t="n">
        <f aca="false">Historicals!F43/1000</f>
        <v>630.287</v>
      </c>
      <c r="G59" s="31" t="n">
        <f aca="false">Historicals!G43/1000</f>
        <v>512.186</v>
      </c>
      <c r="H59" s="31" t="n">
        <f aca="false">Historicals!H43/1000</f>
        <v>730.898</v>
      </c>
      <c r="I59" s="31" t="n">
        <f aca="false">Historicals!I43/1000</f>
        <v>622.189</v>
      </c>
      <c r="J59" s="31" t="n">
        <f aca="false">Historicals!J43/1000</f>
        <v>500.935</v>
      </c>
      <c r="K59" s="55" t="n">
        <f aca="false">G59*($S$21/$R$21)</f>
        <v>533.831060940953</v>
      </c>
      <c r="L59" s="55" t="n">
        <f aca="false">H59*($S$21/$R$21)</f>
        <v>761.78586447037</v>
      </c>
      <c r="M59" s="55" t="n">
        <f aca="false">I59*($T$21/$S$21)</f>
        <v>561.814382986839</v>
      </c>
      <c r="N59" s="55" t="n">
        <f aca="false">J59*($T$21/$S$21)</f>
        <v>452.326363760067</v>
      </c>
      <c r="O59" s="55" t="n">
        <f aca="false">K59*($T$21/$S$21)</f>
        <v>482.030328600717</v>
      </c>
      <c r="P59" s="55" t="n">
        <f aca="false">L59*($T$21/$S$21)</f>
        <v>687.865351871404</v>
      </c>
      <c r="R59" s="31" t="n">
        <f aca="false">H59</f>
        <v>730.898</v>
      </c>
      <c r="S59" s="55" t="n">
        <f aca="false">L59</f>
        <v>761.78586447037</v>
      </c>
      <c r="T59" s="55" t="n">
        <f aca="false">P59</f>
        <v>687.865351871404</v>
      </c>
      <c r="U59" s="55" t="n">
        <f aca="false">T59*(U21-U23)/(T21-T23)</f>
        <v>679.252114377791</v>
      </c>
      <c r="V59" s="55" t="n">
        <f aca="false">U59*(V21-V23)/(U21-U23)</f>
        <v>671.053006080982</v>
      </c>
    </row>
    <row r="60" customFormat="false" ht="15" hidden="false" customHeight="false" outlineLevel="0" collapsed="false">
      <c r="A60" s="4" t="s">
        <v>81</v>
      </c>
      <c r="B60" s="13" t="s">
        <v>135</v>
      </c>
      <c r="C60" s="31" t="n">
        <f aca="false">Historicals!C44/1000</f>
        <v>208</v>
      </c>
      <c r="D60" s="31" t="n">
        <f aca="false">Historicals!D44/1000</f>
        <v>259.764</v>
      </c>
      <c r="E60" s="31" t="n">
        <f aca="false">Historicals!E44/1000</f>
        <v>253.687</v>
      </c>
      <c r="F60" s="31" t="n">
        <f aca="false">Historicals!F44/1000</f>
        <v>327.26</v>
      </c>
      <c r="G60" s="31" t="n">
        <f aca="false">Historicals!G44/1000</f>
        <v>297.444</v>
      </c>
      <c r="H60" s="31" t="n">
        <f aca="false">Historicals!H44/1000</f>
        <v>292.383</v>
      </c>
      <c r="I60" s="31" t="n">
        <f aca="false">Historicals!I44/1000</f>
        <v>415.301</v>
      </c>
      <c r="J60" s="31" t="n">
        <f aca="false">Historicals!J44/1000</f>
        <v>250.42</v>
      </c>
      <c r="K60" s="55" t="n">
        <f aca="false">J60</f>
        <v>250.42</v>
      </c>
      <c r="L60" s="55" t="n">
        <f aca="false">K60</f>
        <v>250.42</v>
      </c>
      <c r="M60" s="55" t="n">
        <f aca="false">L60</f>
        <v>250.42</v>
      </c>
      <c r="N60" s="55" t="n">
        <f aca="false">M60</f>
        <v>250.42</v>
      </c>
      <c r="O60" s="55" t="n">
        <f aca="false">N60</f>
        <v>250.42</v>
      </c>
      <c r="P60" s="55" t="n">
        <f aca="false">O60</f>
        <v>250.42</v>
      </c>
      <c r="R60" s="31" t="n">
        <f aca="false">H60</f>
        <v>292.383</v>
      </c>
      <c r="S60" s="55" t="n">
        <f aca="false">L60</f>
        <v>250.42</v>
      </c>
      <c r="T60" s="55" t="n">
        <f aca="false">P60</f>
        <v>250.42</v>
      </c>
      <c r="U60" s="55" t="n">
        <f aca="false">T60</f>
        <v>250.42</v>
      </c>
      <c r="V60" s="55" t="n">
        <f aca="false">U60</f>
        <v>250.42</v>
      </c>
    </row>
    <row r="61" customFormat="false" ht="15" hidden="false" customHeight="false" outlineLevel="0" collapsed="false">
      <c r="A61" s="4" t="s">
        <v>428</v>
      </c>
      <c r="B61" s="13" t="s">
        <v>135</v>
      </c>
      <c r="C61" s="31" t="n">
        <f aca="false">Historicals!C46/1000</f>
        <v>1636.887</v>
      </c>
      <c r="D61" s="31" t="n">
        <f aca="false">Historicals!D46/1000</f>
        <v>1628.144</v>
      </c>
      <c r="E61" s="31" t="n">
        <f aca="false">Historicals!E46/1000</f>
        <v>1622.134</v>
      </c>
      <c r="F61" s="31" t="n">
        <f aca="false">Historicals!F46/1000</f>
        <v>1703.474</v>
      </c>
      <c r="G61" s="31" t="n">
        <f aca="false">Historicals!G46/1000</f>
        <v>1660.742</v>
      </c>
      <c r="H61" s="31" t="n">
        <f aca="false">Historicals!H46/1000</f>
        <v>1738.806</v>
      </c>
      <c r="I61" s="31" t="n">
        <f aca="false">Historicals!I46/1000</f>
        <v>1675.914</v>
      </c>
      <c r="J61" s="31" t="n">
        <f aca="false">Historicals!J46/1000</f>
        <v>1651.753</v>
      </c>
      <c r="K61" s="55" t="n">
        <f aca="false">J61-K79-K48</f>
        <v>1681.406</v>
      </c>
      <c r="L61" s="55" t="n">
        <f aca="false">K61-L79-L48</f>
        <v>1711.059</v>
      </c>
      <c r="M61" s="55" t="n">
        <f aca="false">L61-M79-M48</f>
        <v>1714.309</v>
      </c>
      <c r="N61" s="55" t="n">
        <f aca="false">M61-N79-N48</f>
        <v>1717.559</v>
      </c>
      <c r="O61" s="55" t="n">
        <f aca="false">N61-O79-O48</f>
        <v>1720.809</v>
      </c>
      <c r="P61" s="55" t="n">
        <f aca="false">O61-P79-P48</f>
        <v>1724.059</v>
      </c>
      <c r="R61" s="31" t="n">
        <f aca="false">H61</f>
        <v>1738.806</v>
      </c>
      <c r="S61" s="55" t="n">
        <f aca="false">L61</f>
        <v>1711.059</v>
      </c>
      <c r="T61" s="55" t="n">
        <f aca="false">P61</f>
        <v>1724.059</v>
      </c>
      <c r="U61" s="55" t="n">
        <f aca="false">T61-U79-U48</f>
        <v>1737.059</v>
      </c>
      <c r="V61" s="55" t="n">
        <f aca="false">U61-V79-V48</f>
        <v>1750.059</v>
      </c>
    </row>
    <row r="62" customFormat="false" ht="15" hidden="false" customHeight="false" outlineLevel="0" collapsed="false">
      <c r="A62" s="3" t="s">
        <v>84</v>
      </c>
      <c r="B62" s="13" t="s">
        <v>135</v>
      </c>
      <c r="C62" s="42" t="n">
        <f aca="false">C56+C57+C58+C59+C60+C61</f>
        <v>13026.659</v>
      </c>
      <c r="D62" s="42" t="n">
        <f aca="false">D56+D57+D58+D59+D60+D61</f>
        <v>11881.579</v>
      </c>
      <c r="E62" s="42" t="n">
        <f aca="false">E56+E57+E58+E59+E60+E61</f>
        <v>12382.381</v>
      </c>
      <c r="F62" s="42" t="n">
        <f aca="false">F56+F57+F58+F59+F60+F61</f>
        <v>12050.445</v>
      </c>
      <c r="G62" s="42" t="n">
        <f aca="false">G56+G57+G58+G59+G60+G61</f>
        <v>10566.384</v>
      </c>
      <c r="H62" s="42" t="n">
        <f aca="false">H56+H57+H58+H59+H60+H61</f>
        <v>8044.815</v>
      </c>
      <c r="I62" s="42" t="n">
        <f aca="false">I56+I57+I58+I59+I60+I61</f>
        <v>7245.661</v>
      </c>
      <c r="J62" s="42" t="n">
        <f aca="false">J56+J57+J58+J59+J60+J61</f>
        <v>7245.865</v>
      </c>
      <c r="K62" s="56" t="n">
        <f aca="false">K56+K57+K58+K59+K60+K61</f>
        <v>7174.4674168989</v>
      </c>
      <c r="L62" s="56" t="n">
        <f aca="false">L56+L57+L58+L59+L60+L61</f>
        <v>7114.48708327091</v>
      </c>
      <c r="M62" s="56" t="n">
        <f aca="false">M56+M57+M58+M59+M60+M61</f>
        <v>7049.61728552683</v>
      </c>
      <c r="N62" s="56" t="n">
        <f aca="false">N56+N57+N58+N59+N60+N61</f>
        <v>6831.7998879484</v>
      </c>
      <c r="O62" s="56" t="n">
        <f aca="false">O56+O57+O58+O59+O60+O61</f>
        <v>6742.11554616914</v>
      </c>
      <c r="P62" s="56" t="n">
        <f aca="false">P56+P57+P58+P59+P60+P61</f>
        <v>6656.30813086734</v>
      </c>
      <c r="R62" s="42" t="n">
        <f aca="false">R56+R57+R58+R59+R60+R61</f>
        <v>8044.815</v>
      </c>
      <c r="S62" s="56" t="n">
        <f aca="false">S56+S57+S58+S59+S60+S61</f>
        <v>7114.48708327091</v>
      </c>
      <c r="T62" s="56" t="n">
        <f aca="false">T56+T57+T58+T59+T60+T61</f>
        <v>6656.30813086734</v>
      </c>
      <c r="U62" s="56" t="n">
        <f aca="false">U56+U57+U58+U59+U60+U61</f>
        <v>6245.4913748118</v>
      </c>
      <c r="V62" s="56" t="n">
        <f aca="false">V56+V57+V58+V59+V60+V61</f>
        <v>5779.57396705047</v>
      </c>
    </row>
    <row r="63" customFormat="false" ht="15" hidden="false" customHeight="false" outlineLevel="0" collapsed="false">
      <c r="A63" s="4" t="s">
        <v>429</v>
      </c>
      <c r="B63" s="13" t="s">
        <v>135</v>
      </c>
      <c r="C63" s="31" t="n">
        <f aca="false">Historicals!C48/1000</f>
        <v>931.971</v>
      </c>
      <c r="D63" s="31" t="n">
        <f aca="false">Historicals!D48/1000</f>
        <v>892.678</v>
      </c>
      <c r="E63" s="31" t="n">
        <f aca="false">Historicals!E48/1000</f>
        <v>1105.802</v>
      </c>
      <c r="F63" s="31" t="n">
        <f aca="false">Historicals!F48/1000</f>
        <v>1040.616</v>
      </c>
      <c r="G63" s="31" t="n">
        <f aca="false">Historicals!G48/1000</f>
        <v>971.411</v>
      </c>
      <c r="H63" s="31" t="n">
        <f aca="false">Historicals!H48/1000</f>
        <v>1061.194</v>
      </c>
      <c r="I63" s="31" t="n">
        <f aca="false">Historicals!I48/1000</f>
        <v>1232.554</v>
      </c>
      <c r="J63" s="31" t="n">
        <f aca="false">Historicals!J48/1000</f>
        <v>1033.42</v>
      </c>
      <c r="K63" s="55" t="n">
        <f aca="false">G63*($S$21/$R$21)</f>
        <v>1012.46298168968</v>
      </c>
      <c r="L63" s="55" t="n">
        <f aca="false">H63*($S$21/$R$21)</f>
        <v>1106.04022539502</v>
      </c>
      <c r="M63" s="55" t="n">
        <f aca="false">I63*($T$21/$S$21)</f>
        <v>1112.95211745621</v>
      </c>
      <c r="N63" s="55" t="n">
        <f aca="false">J63*($T$21/$S$21)</f>
        <v>933.141247540956</v>
      </c>
      <c r="O63" s="55" t="n">
        <f aca="false">K63*($T$21/$S$21)</f>
        <v>914.217810592931</v>
      </c>
      <c r="P63" s="55" t="n">
        <f aca="false">L63*($T$21/$S$21)</f>
        <v>998.714710142623</v>
      </c>
      <c r="R63" s="31" t="n">
        <f aca="false">H63</f>
        <v>1061.194</v>
      </c>
      <c r="S63" s="55" t="n">
        <f aca="false">L63</f>
        <v>1106.04022539502</v>
      </c>
      <c r="T63" s="55" t="n">
        <f aca="false">P63</f>
        <v>998.714710142623</v>
      </c>
      <c r="U63" s="55" t="n">
        <f aca="false">T63*(U21-U23+U25)/(T21-T23+T25)</f>
        <v>994.757383845751</v>
      </c>
      <c r="V63" s="55" t="n">
        <f aca="false">U63*(V21-V23+V25)/(U21-U23+U25)</f>
        <v>991.348225095503</v>
      </c>
    </row>
    <row r="64" customFormat="false" ht="15" hidden="false" customHeight="false" outlineLevel="0" collapsed="false">
      <c r="A64" s="4" t="s">
        <v>430</v>
      </c>
      <c r="B64" s="13" t="s">
        <v>135</v>
      </c>
      <c r="C64" s="31" t="n">
        <f aca="false">(Historicals!C49+Historicals!C50+Historicals!C51+Historicals!C52)/1000</f>
        <v>7977.053</v>
      </c>
      <c r="D64" s="31" t="n">
        <f aca="false">(Historicals!D49+Historicals!D50+Historicals!D51+Historicals!D52)/1000</f>
        <v>7133.481</v>
      </c>
      <c r="E64" s="31" t="n">
        <f aca="false">(Historicals!E49+Historicals!E50+Historicals!E51+Historicals!E52)/1000</f>
        <v>7479.237</v>
      </c>
      <c r="F64" s="31" t="n">
        <f aca="false">(Historicals!F49+Historicals!F50+Historicals!F51+Historicals!F52)/1000</f>
        <v>7097.835</v>
      </c>
      <c r="G64" s="31" t="n">
        <f aca="false">(Historicals!G49+Historicals!G50+Historicals!G51+Historicals!G52)/1000</f>
        <v>5454.488</v>
      </c>
      <c r="H64" s="31" t="n">
        <f aca="false">(Historicals!H49+Historicals!H50+Historicals!H51+Historicals!H52)/1000</f>
        <v>3247.112</v>
      </c>
      <c r="I64" s="31" t="n">
        <f aca="false">(Historicals!I49+Historicals!I50+Historicals!I51+Historicals!I52)/1000</f>
        <v>2380.438</v>
      </c>
      <c r="J64" s="31" t="n">
        <f aca="false">(Historicals!J49+Historicals!J50+Historicals!J51+Historicals!J52)/1000</f>
        <v>2508.875</v>
      </c>
      <c r="K64" s="55" t="n">
        <f aca="false">K58*Inputs!$E$61-Inputs!$E$26</f>
        <v>2508.875</v>
      </c>
      <c r="L64" s="55" t="n">
        <f aca="false">L58*Inputs!$E$61-Inputs!$E$26</f>
        <v>2508.875</v>
      </c>
      <c r="M64" s="55" t="n">
        <f aca="false">M58*Inputs!$E$61-Inputs!$E$26</f>
        <v>2508.875</v>
      </c>
      <c r="N64" s="55" t="n">
        <f aca="false">N58*Inputs!$E$61-Inputs!$E$26</f>
        <v>2508.875</v>
      </c>
      <c r="O64" s="55" t="n">
        <f aca="false">O58*Inputs!$E$61-Inputs!$E$26</f>
        <v>2508.875</v>
      </c>
      <c r="P64" s="55" t="n">
        <f aca="false">P58*Inputs!$E$61-Inputs!$E$26</f>
        <v>2508.875</v>
      </c>
      <c r="R64" s="31" t="n">
        <f aca="false">H64</f>
        <v>3247.112</v>
      </c>
      <c r="S64" s="55" t="n">
        <f aca="false">L64</f>
        <v>2508.875</v>
      </c>
      <c r="T64" s="55" t="n">
        <f aca="false">P64</f>
        <v>2508.875</v>
      </c>
      <c r="U64" s="50" t="n">
        <f aca="false">U58*Inputs!$E$61-Inputs!$E$26</f>
        <v>2508.875</v>
      </c>
      <c r="V64" s="50" t="n">
        <f aca="false">V58*Inputs!$E$61-Inputs!$E$26</f>
        <v>2508.875</v>
      </c>
    </row>
    <row r="65" customFormat="false" ht="15" hidden="false" customHeight="false" outlineLevel="0" collapsed="false">
      <c r="A65" s="4" t="s">
        <v>431</v>
      </c>
      <c r="B65" s="13" t="s">
        <v>135</v>
      </c>
      <c r="C65" s="31" t="n">
        <f aca="false">Historicals!C53/1000</f>
        <v>692.523</v>
      </c>
      <c r="D65" s="31" t="n">
        <f aca="false">Historicals!D53/1000</f>
        <v>696.92</v>
      </c>
      <c r="E65" s="31" t="n">
        <f aca="false">Historicals!E53/1000</f>
        <v>623.652</v>
      </c>
      <c r="F65" s="31" t="n">
        <f aca="false">Historicals!F53/1000</f>
        <v>604.061</v>
      </c>
      <c r="G65" s="31" t="n">
        <f aca="false">Historicals!G53/1000</f>
        <v>579.106</v>
      </c>
      <c r="H65" s="31" t="n">
        <f aca="false">Historicals!H53/1000</f>
        <v>579.659</v>
      </c>
      <c r="I65" s="31" t="n">
        <f aca="false">Historicals!I53/1000</f>
        <v>552.534</v>
      </c>
      <c r="J65" s="31" t="n">
        <f aca="false">Historicals!J53/1000</f>
        <v>587.551</v>
      </c>
      <c r="K65" s="55" t="n">
        <f aca="false">J65</f>
        <v>587.551</v>
      </c>
      <c r="L65" s="55" t="n">
        <f aca="false">K65</f>
        <v>587.551</v>
      </c>
      <c r="M65" s="55" t="n">
        <f aca="false">L65</f>
        <v>587.551</v>
      </c>
      <c r="N65" s="55" t="n">
        <f aca="false">M65</f>
        <v>587.551</v>
      </c>
      <c r="O65" s="55" t="n">
        <f aca="false">N65</f>
        <v>587.551</v>
      </c>
      <c r="P65" s="55" t="n">
        <f aca="false">O65</f>
        <v>587.551</v>
      </c>
      <c r="R65" s="31" t="n">
        <f aca="false">H65</f>
        <v>579.659</v>
      </c>
      <c r="S65" s="55" t="n">
        <f aca="false">L65</f>
        <v>587.551</v>
      </c>
      <c r="T65" s="55" t="n">
        <f aca="false">P65</f>
        <v>587.551</v>
      </c>
      <c r="U65" s="55" t="n">
        <f aca="false">T65</f>
        <v>587.551</v>
      </c>
      <c r="V65" s="55" t="n">
        <f aca="false">U65</f>
        <v>587.551</v>
      </c>
    </row>
    <row r="66" customFormat="false" ht="15" hidden="false" customHeight="false" outlineLevel="0" collapsed="false">
      <c r="A66" s="4" t="s">
        <v>91</v>
      </c>
      <c r="B66" s="13" t="s">
        <v>135</v>
      </c>
      <c r="C66" s="31" t="n">
        <f aca="false">Historicals!C54/1000</f>
        <v>3425.112</v>
      </c>
      <c r="D66" s="31" t="n">
        <f aca="false">Historicals!D54/1000</f>
        <v>3158.5</v>
      </c>
      <c r="E66" s="31" t="n">
        <f aca="false">Historicals!E54/1000</f>
        <v>3173.69</v>
      </c>
      <c r="F66" s="31" t="n">
        <f aca="false">Historicals!F54/1000</f>
        <v>3307.933</v>
      </c>
      <c r="G66" s="31" t="n">
        <f aca="false">Historicals!G54/1000</f>
        <v>3561.379</v>
      </c>
      <c r="H66" s="31" t="n">
        <f aca="false">Historicals!H54/1000</f>
        <v>3156.85</v>
      </c>
      <c r="I66" s="31" t="n">
        <f aca="false">Historicals!I54/1000</f>
        <v>3080.135</v>
      </c>
      <c r="J66" s="31" t="n">
        <f aca="false">Historicals!J54/1000</f>
        <v>3116.019</v>
      </c>
      <c r="K66" s="55" t="n">
        <f aca="false">J66+K39+K73+K83+K84</f>
        <v>3065.57843520922</v>
      </c>
      <c r="L66" s="55" t="n">
        <f aca="false">K66+L39+L73+L83+L84</f>
        <v>2912.02085787589</v>
      </c>
      <c r="M66" s="55" t="n">
        <f aca="false">L66+M39+M73+M83+M84</f>
        <v>2840.23916807063</v>
      </c>
      <c r="N66" s="55" t="n">
        <f aca="false">M66+N39+N73+N83+N84</f>
        <v>2802.23264040744</v>
      </c>
      <c r="O66" s="55" t="n">
        <f aca="false">N66+O39+O73+O83+O84</f>
        <v>2731.47173557621</v>
      </c>
      <c r="P66" s="55" t="n">
        <f aca="false">O66+P39+P73+P83+P84</f>
        <v>2561.16742072471</v>
      </c>
      <c r="R66" s="31" t="n">
        <f aca="false">H66</f>
        <v>3156.85</v>
      </c>
      <c r="S66" s="55" t="n">
        <f aca="false">L66</f>
        <v>2912.02085787589</v>
      </c>
      <c r="T66" s="55" t="n">
        <f aca="false">P66</f>
        <v>2561.16742072471</v>
      </c>
      <c r="U66" s="55" t="n">
        <f aca="false">T66+U39+U73+U83+U84</f>
        <v>2154.30799096605</v>
      </c>
      <c r="V66" s="55" t="n">
        <f aca="false">U66+V39+V73+V83+V84</f>
        <v>1691.79974195496</v>
      </c>
    </row>
    <row r="67" customFormat="false" ht="15" hidden="false" customHeight="false" outlineLevel="0" collapsed="false">
      <c r="A67" s="3" t="s">
        <v>432</v>
      </c>
      <c r="B67" s="13" t="s">
        <v>135</v>
      </c>
      <c r="C67" s="42" t="n">
        <f aca="false">C63+C64+C65+C66</f>
        <v>13026.659</v>
      </c>
      <c r="D67" s="42" t="n">
        <f aca="false">D63+D64+D65+D66</f>
        <v>11881.579</v>
      </c>
      <c r="E67" s="42" t="n">
        <f aca="false">E63+E64+E65+E66</f>
        <v>12382.381</v>
      </c>
      <c r="F67" s="42" t="n">
        <f aca="false">F63+F64+F65+F66</f>
        <v>12050.445</v>
      </c>
      <c r="G67" s="42" t="n">
        <f aca="false">G63+G64+G65+G66</f>
        <v>10566.384</v>
      </c>
      <c r="H67" s="42" t="n">
        <f aca="false">H63+H64+H65+H66</f>
        <v>8044.815</v>
      </c>
      <c r="I67" s="42" t="n">
        <f aca="false">I63+I64+I65+I66</f>
        <v>7245.661</v>
      </c>
      <c r="J67" s="42" t="n">
        <f aca="false">J63+J64+J65+J66</f>
        <v>7245.865</v>
      </c>
      <c r="K67" s="56" t="n">
        <f aca="false">K63+K64+K65+K66</f>
        <v>7174.4674168989</v>
      </c>
      <c r="L67" s="56" t="n">
        <f aca="false">L63+L64+L65+L66</f>
        <v>7114.48708327091</v>
      </c>
      <c r="M67" s="56" t="n">
        <f aca="false">M63+M64+M65+M66</f>
        <v>7049.61728552683</v>
      </c>
      <c r="N67" s="56" t="n">
        <f aca="false">N63+N64+N65+N66</f>
        <v>6831.7998879484</v>
      </c>
      <c r="O67" s="56" t="n">
        <f aca="false">O63+O64+O65+O66</f>
        <v>6742.11554616914</v>
      </c>
      <c r="P67" s="56" t="n">
        <f aca="false">P63+P64+P65+P66</f>
        <v>6656.30813086734</v>
      </c>
      <c r="R67" s="42" t="n">
        <f aca="false">R63+R64+R65+R66</f>
        <v>8044.815</v>
      </c>
      <c r="S67" s="56" t="n">
        <f aca="false">S63+S64+S65+S66</f>
        <v>7114.48708327091</v>
      </c>
      <c r="T67" s="56" t="n">
        <f aca="false">T63+T64+T65+T66</f>
        <v>6656.30813086734</v>
      </c>
      <c r="U67" s="56" t="n">
        <f aca="false">U63+U64+U65+U66</f>
        <v>6245.4913748118</v>
      </c>
      <c r="V67" s="56" t="n">
        <f aca="false">V63+V64+V65+V66</f>
        <v>5779.57396705047</v>
      </c>
    </row>
    <row r="68" customFormat="false" ht="15" hidden="false" customHeight="false" outlineLevel="0" collapsed="false">
      <c r="A68" s="4" t="s">
        <v>433</v>
      </c>
      <c r="B68" s="13" t="s">
        <v>135</v>
      </c>
      <c r="C68" s="64" t="n">
        <f aca="false">ROUND(C62-C67,3)</f>
        <v>0</v>
      </c>
      <c r="D68" s="64" t="n">
        <f aca="false">ROUND(D62-D67,3)</f>
        <v>0</v>
      </c>
      <c r="E68" s="64" t="n">
        <f aca="false">ROUND(E62-E67,3)</f>
        <v>0</v>
      </c>
      <c r="F68" s="64" t="n">
        <f aca="false">ROUND(F62-F67,3)</f>
        <v>0</v>
      </c>
      <c r="G68" s="64" t="n">
        <f aca="false">ROUND(G62-G67,3)</f>
        <v>0</v>
      </c>
      <c r="H68" s="64" t="n">
        <f aca="false">ROUND(H62-H67,3)</f>
        <v>0</v>
      </c>
      <c r="I68" s="64" t="n">
        <f aca="false">ROUND(I62-I67,3)</f>
        <v>0</v>
      </c>
      <c r="J68" s="64" t="n">
        <f aca="false">ROUND(J62-J67,3)</f>
        <v>0</v>
      </c>
      <c r="K68" s="65" t="n">
        <f aca="false">ROUND(K62-K67,3)</f>
        <v>0</v>
      </c>
      <c r="L68" s="65" t="n">
        <f aca="false">ROUND(L62-L67,3)</f>
        <v>0</v>
      </c>
      <c r="M68" s="65" t="n">
        <f aca="false">ROUND(M62-M67,3)</f>
        <v>0</v>
      </c>
      <c r="N68" s="65" t="n">
        <f aca="false">ROUND(N62-N67,3)</f>
        <v>0</v>
      </c>
      <c r="O68" s="65" t="n">
        <f aca="false">ROUND(O62-O67,3)</f>
        <v>0</v>
      </c>
      <c r="P68" s="65" t="n">
        <f aca="false">ROUND(P62-P67,3)</f>
        <v>0</v>
      </c>
      <c r="R68" s="64" t="n">
        <f aca="false">ROUND(R62-R67,3)</f>
        <v>0</v>
      </c>
      <c r="S68" s="65" t="n">
        <f aca="false">ROUND(S62-S67,3)</f>
        <v>0</v>
      </c>
      <c r="T68" s="65" t="n">
        <f aca="false">ROUND(T62-T67,3)</f>
        <v>0</v>
      </c>
      <c r="U68" s="65" t="n">
        <f aca="false">ROUND(U62-U67,3)</f>
        <v>0</v>
      </c>
      <c r="V68" s="65" t="n">
        <f aca="false">ROUND(V62-V67,3)</f>
        <v>0</v>
      </c>
    </row>
    <row r="70" customFormat="false" ht="15" hidden="false" customHeight="false" outlineLevel="0" collapsed="false">
      <c r="A70" s="16" t="s">
        <v>434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R70" s="17"/>
      <c r="S70" s="17"/>
      <c r="T70" s="17"/>
      <c r="U70" s="17"/>
      <c r="V70" s="17"/>
    </row>
    <row r="71" customFormat="false" ht="15" hidden="false" customHeight="false" outlineLevel="0" collapsed="false">
      <c r="A71" s="4" t="s">
        <v>411</v>
      </c>
      <c r="B71" s="13" t="s">
        <v>135</v>
      </c>
      <c r="C71" s="31" t="n">
        <f aca="false">C39</f>
        <v>115.967</v>
      </c>
      <c r="D71" s="31" t="n">
        <f aca="false">D39</f>
        <v>-118.429</v>
      </c>
      <c r="E71" s="31" t="n">
        <f aca="false">E39</f>
        <v>130.797</v>
      </c>
      <c r="F71" s="31" t="n">
        <f aca="false">F39</f>
        <v>105.745</v>
      </c>
      <c r="G71" s="31" t="n">
        <f aca="false">G39</f>
        <v>375.165</v>
      </c>
      <c r="H71" s="31" t="n">
        <f aca="false">H39</f>
        <v>-282.553</v>
      </c>
      <c r="I71" s="31" t="n">
        <f aca="false">I39</f>
        <v>24.123</v>
      </c>
      <c r="J71" s="31" t="n">
        <f aca="false">J39</f>
        <v>78.981</v>
      </c>
      <c r="K71" s="55" t="n">
        <f aca="false">K39</f>
        <v>-14.2579980004298</v>
      </c>
      <c r="L71" s="55" t="n">
        <f aca="false">L39</f>
        <v>-117.54894375262</v>
      </c>
      <c r="M71" s="55" t="n">
        <f aca="false">M39</f>
        <v>-35.1536014193674</v>
      </c>
      <c r="N71" s="55" t="n">
        <f aca="false">N39</f>
        <v>-1.5593298153197</v>
      </c>
      <c r="O71" s="55" t="n">
        <f aca="false">O39</f>
        <v>-34.494597521396</v>
      </c>
      <c r="P71" s="55" t="n">
        <f aca="false">P39</f>
        <v>-134.218898079696</v>
      </c>
      <c r="R71" s="31" t="n">
        <f aca="false">SUM(E71:H71)</f>
        <v>329.154</v>
      </c>
      <c r="S71" s="55" t="n">
        <f aca="false">SUM(I71:L71)</f>
        <v>-28.7029417530497</v>
      </c>
      <c r="T71" s="55" t="n">
        <f aca="false">SUM(M71:P71)</f>
        <v>-205.426426835779</v>
      </c>
      <c r="U71" s="55" t="n">
        <f aca="false">U39</f>
        <v>-261.185357583529</v>
      </c>
      <c r="V71" s="55" t="n">
        <f aca="false">V39</f>
        <v>-316.697633243928</v>
      </c>
    </row>
    <row r="72" customFormat="false" ht="15" hidden="false" customHeight="false" outlineLevel="0" collapsed="false">
      <c r="A72" s="4" t="s">
        <v>418</v>
      </c>
      <c r="B72" s="13" t="s">
        <v>135</v>
      </c>
      <c r="C72" s="31" t="n">
        <f aca="false">Historicals!C57/1000</f>
        <v>39.19</v>
      </c>
      <c r="D72" s="31" t="n">
        <f aca="false">Historicals!D57/1000</f>
        <v>41.11</v>
      </c>
      <c r="E72" s="31" t="n">
        <f aca="false">Historicals!E57/1000</f>
        <v>41.7</v>
      </c>
      <c r="F72" s="31" t="n">
        <f aca="false">Historicals!F57/1000</f>
        <v>40.43</v>
      </c>
      <c r="G72" s="31" t="n">
        <f aca="false">Historicals!G57/1000</f>
        <v>44.21</v>
      </c>
      <c r="H72" s="31" t="n">
        <f aca="false">Historicals!H57/1000</f>
        <v>46.03</v>
      </c>
      <c r="I72" s="31" t="n">
        <f aca="false">Historicals!I57/1000</f>
        <v>44.14</v>
      </c>
      <c r="J72" s="31" t="n">
        <f aca="false">Historicals!J57/1000</f>
        <v>42.56</v>
      </c>
      <c r="K72" s="55" t="n">
        <f aca="false">K48</f>
        <v>43</v>
      </c>
      <c r="L72" s="55" t="n">
        <f aca="false">L48</f>
        <v>43</v>
      </c>
      <c r="M72" s="55" t="n">
        <f aca="false">M48</f>
        <v>43</v>
      </c>
      <c r="N72" s="55" t="n">
        <f aca="false">N48</f>
        <v>43</v>
      </c>
      <c r="O72" s="55" t="n">
        <f aca="false">O48</f>
        <v>43</v>
      </c>
      <c r="P72" s="55" t="n">
        <f aca="false">P48</f>
        <v>43</v>
      </c>
      <c r="R72" s="31" t="n">
        <f aca="false">SUM(E72:H72)</f>
        <v>172.37</v>
      </c>
      <c r="S72" s="55" t="n">
        <f aca="false">SUM(I72:L72)</f>
        <v>172.7</v>
      </c>
      <c r="T72" s="55" t="n">
        <f aca="false">SUM(M72:P72)</f>
        <v>172</v>
      </c>
      <c r="U72" s="55" t="n">
        <f aca="false">U48</f>
        <v>172</v>
      </c>
      <c r="V72" s="55" t="n">
        <f aca="false">V48</f>
        <v>172</v>
      </c>
    </row>
    <row r="73" customFormat="false" ht="15" hidden="false" customHeight="false" outlineLevel="0" collapsed="false">
      <c r="A73" s="4" t="s">
        <v>95</v>
      </c>
      <c r="B73" s="13" t="s">
        <v>135</v>
      </c>
      <c r="C73" s="31" t="n">
        <f aca="false">Historicals!C58/1000</f>
        <v>10.83</v>
      </c>
      <c r="D73" s="31" t="n">
        <f aca="false">Historicals!D58/1000</f>
        <v>9.19</v>
      </c>
      <c r="E73" s="31" t="n">
        <f aca="false">Historicals!E58/1000</f>
        <v>6.82</v>
      </c>
      <c r="F73" s="31" t="n">
        <f aca="false">Historicals!F58/1000</f>
        <v>10.59</v>
      </c>
      <c r="G73" s="31" t="n">
        <f aca="false">Historicals!G58/1000</f>
        <v>8.43</v>
      </c>
      <c r="H73" s="31" t="n">
        <f aca="false">Historicals!H58/1000</f>
        <v>5.91</v>
      </c>
      <c r="I73" s="31" t="n">
        <f aca="false">Historicals!I58/1000</f>
        <v>8.54</v>
      </c>
      <c r="J73" s="31" t="n">
        <f aca="false">Historicals!J58/1000</f>
        <v>9.49</v>
      </c>
      <c r="K73" s="55" t="n">
        <f aca="false">Inputs!$E$34</f>
        <v>9</v>
      </c>
      <c r="L73" s="55" t="n">
        <f aca="false">Inputs!$E$34</f>
        <v>9</v>
      </c>
      <c r="M73" s="55" t="n">
        <f aca="false">Inputs!$E$34</f>
        <v>9</v>
      </c>
      <c r="N73" s="55" t="n">
        <f aca="false">Inputs!$E$34</f>
        <v>9</v>
      </c>
      <c r="O73" s="55" t="n">
        <f aca="false">Inputs!$E$34</f>
        <v>9</v>
      </c>
      <c r="P73" s="55" t="n">
        <f aca="false">Inputs!$E$34</f>
        <v>9</v>
      </c>
      <c r="R73" s="31" t="n">
        <f aca="false">SUM(E73:H73)</f>
        <v>31.75</v>
      </c>
      <c r="S73" s="55" t="n">
        <f aca="false">SUM(I73:L73)</f>
        <v>36.03</v>
      </c>
      <c r="T73" s="55" t="n">
        <f aca="false">SUM(M73:P73)</f>
        <v>36</v>
      </c>
      <c r="U73" s="55" t="n">
        <f aca="false">4*Inputs!$E$34</f>
        <v>36</v>
      </c>
      <c r="V73" s="55" t="n">
        <f aca="false">4*Inputs!$E$34</f>
        <v>36</v>
      </c>
    </row>
    <row r="74" customFormat="false" ht="15" hidden="false" customHeight="false" outlineLevel="0" collapsed="false">
      <c r="A74" s="4" t="s">
        <v>435</v>
      </c>
      <c r="B74" s="13" t="s">
        <v>135</v>
      </c>
      <c r="K74" s="55" t="n">
        <f aca="false">-(K57-J57)</f>
        <v>-16.1117705864669</v>
      </c>
      <c r="L74" s="55" t="n">
        <f aca="false">-(L57-K57)</f>
        <v>82.599117468206</v>
      </c>
      <c r="M74" s="55" t="n">
        <f aca="false">-(M57-L57)</f>
        <v>-22.7538693118638</v>
      </c>
      <c r="N74" s="55" t="n">
        <f aca="false">-(N57-M57)</f>
        <v>-14.4492328802911</v>
      </c>
      <c r="O74" s="55" t="n">
        <f aca="false">-(O57-N57)</f>
        <v>-14.5483517883816</v>
      </c>
      <c r="P74" s="55" t="n">
        <f aca="false">-(P57-O57)</f>
        <v>74.5840447446959</v>
      </c>
      <c r="R74" s="31" t="n">
        <f aca="false">SUM(E74:H74)</f>
        <v>0</v>
      </c>
      <c r="S74" s="55" t="n">
        <f aca="false">SUM(I74:L74)</f>
        <v>66.4873468817391</v>
      </c>
      <c r="T74" s="55" t="n">
        <f aca="false">SUM(M74:P74)</f>
        <v>22.8325907641594</v>
      </c>
      <c r="U74" s="55" t="n">
        <f aca="false">-(U57-T57)</f>
        <v>5.80264260245474</v>
      </c>
      <c r="V74" s="55" t="n">
        <f aca="false">-(V57-U57)</f>
        <v>5.65520458591288</v>
      </c>
    </row>
    <row r="75" customFormat="false" ht="15" hidden="false" customHeight="false" outlineLevel="0" collapsed="false">
      <c r="A75" s="4" t="s">
        <v>436</v>
      </c>
      <c r="B75" s="13" t="s">
        <v>135</v>
      </c>
      <c r="K75" s="55" t="n">
        <f aca="false">-(K59-J59)</f>
        <v>-32.8960609409532</v>
      </c>
      <c r="L75" s="55" t="n">
        <f aca="false">-(L59-K59)</f>
        <v>-227.954803529417</v>
      </c>
      <c r="M75" s="55" t="n">
        <f aca="false">-(M59-L59)</f>
        <v>199.97148148353</v>
      </c>
      <c r="N75" s="55" t="n">
        <f aca="false">-(N59-M59)</f>
        <v>109.488019226772</v>
      </c>
      <c r="O75" s="55" t="n">
        <f aca="false">-(O59-N59)</f>
        <v>-29.7039648406499</v>
      </c>
      <c r="P75" s="55" t="n">
        <f aca="false">-(P59-O59)</f>
        <v>-205.835023270687</v>
      </c>
      <c r="R75" s="31" t="n">
        <f aca="false">SUM(E75:H75)</f>
        <v>0</v>
      </c>
      <c r="S75" s="55" t="n">
        <f aca="false">SUM(I75:L75)</f>
        <v>-260.85086447037</v>
      </c>
      <c r="T75" s="55" t="n">
        <f aca="false">SUM(M75:P75)</f>
        <v>73.920512598966</v>
      </c>
      <c r="U75" s="55" t="n">
        <f aca="false">-(U59-T59)</f>
        <v>8.61323749361327</v>
      </c>
      <c r="V75" s="55" t="n">
        <f aca="false">-(V59-U59)</f>
        <v>8.19910829680896</v>
      </c>
    </row>
    <row r="76" customFormat="false" ht="15" hidden="false" customHeight="false" outlineLevel="0" collapsed="false">
      <c r="A76" s="4" t="s">
        <v>437</v>
      </c>
      <c r="B76" s="13" t="s">
        <v>135</v>
      </c>
      <c r="K76" s="55" t="n">
        <f aca="false">(K63-J63)</f>
        <v>-20.9570183103165</v>
      </c>
      <c r="L76" s="55" t="n">
        <f aca="false">(L63-K63)</f>
        <v>93.5772437053367</v>
      </c>
      <c r="M76" s="55" t="n">
        <f aca="false">(M63-L63)</f>
        <v>6.91189206118816</v>
      </c>
      <c r="N76" s="55" t="n">
        <f aca="false">(N63-M63)</f>
        <v>-179.810869915253</v>
      </c>
      <c r="O76" s="55" t="n">
        <f aca="false">(O63-N63)</f>
        <v>-18.9234369480243</v>
      </c>
      <c r="P76" s="55" t="n">
        <f aca="false">(P63-O63)</f>
        <v>84.4968995496912</v>
      </c>
      <c r="R76" s="31" t="n">
        <f aca="false">SUM(E76:H76)</f>
        <v>0</v>
      </c>
      <c r="S76" s="55" t="n">
        <f aca="false">SUM(I76:L76)</f>
        <v>72.6202253950203</v>
      </c>
      <c r="T76" s="55" t="n">
        <f aca="false">SUM(M76:P76)</f>
        <v>-107.325515252398</v>
      </c>
      <c r="U76" s="55" t="n">
        <f aca="false">(U63-T63)</f>
        <v>-3.95732629687188</v>
      </c>
      <c r="V76" s="55" t="n">
        <f aca="false">(V63-U63)</f>
        <v>-3.40915875024723</v>
      </c>
    </row>
    <row r="77" customFormat="false" ht="15" hidden="false" customHeight="false" outlineLevel="0" collapsed="false">
      <c r="A77" s="4" t="s">
        <v>438</v>
      </c>
      <c r="B77" s="13" t="s">
        <v>135</v>
      </c>
      <c r="C77" s="31" t="n">
        <f aca="false">C78-C71-C72-C73</f>
        <v>187.026</v>
      </c>
      <c r="D77" s="31" t="n">
        <f aca="false">D78-D71-D72-D73</f>
        <v>201.307</v>
      </c>
      <c r="E77" s="31" t="n">
        <f aca="false">E78-E71-E72-E73</f>
        <v>-37.783</v>
      </c>
      <c r="F77" s="31" t="n">
        <f aca="false">F78-F71-F72-F73</f>
        <v>211.193</v>
      </c>
      <c r="G77" s="31" t="n">
        <f aca="false">G78-G71-G72-G73</f>
        <v>-520.394</v>
      </c>
      <c r="H77" s="31" t="n">
        <f aca="false">H78-H71-H72-H73</f>
        <v>382.632</v>
      </c>
      <c r="I77" s="31" t="n">
        <f aca="false">I78-I71-I72-I73</f>
        <v>-304.824</v>
      </c>
      <c r="J77" s="31" t="n">
        <f aca="false">J78-J71-J72-J73</f>
        <v>37.305</v>
      </c>
      <c r="K77" s="55" t="n">
        <f aca="false">0</f>
        <v>0</v>
      </c>
      <c r="L77" s="55" t="n">
        <f aca="false">0</f>
        <v>0</v>
      </c>
      <c r="M77" s="55" t="n">
        <f aca="false">0</f>
        <v>0</v>
      </c>
      <c r="N77" s="55" t="n">
        <f aca="false">0</f>
        <v>0</v>
      </c>
      <c r="O77" s="55" t="n">
        <f aca="false">0</f>
        <v>0</v>
      </c>
      <c r="P77" s="55" t="n">
        <f aca="false">0</f>
        <v>0</v>
      </c>
      <c r="R77" s="31" t="n">
        <f aca="false">SUM(E77:H77)</f>
        <v>35.6480000000001</v>
      </c>
      <c r="S77" s="55" t="n">
        <f aca="false">SUM(I77:L77)</f>
        <v>-267.519</v>
      </c>
      <c r="T77" s="55" t="n">
        <f aca="false">SUM(M77:P77)</f>
        <v>0</v>
      </c>
      <c r="U77" s="55" t="n">
        <f aca="false">0</f>
        <v>0</v>
      </c>
      <c r="V77" s="55" t="n">
        <f aca="false">0</f>
        <v>0</v>
      </c>
    </row>
    <row r="78" customFormat="false" ht="15" hidden="false" customHeight="false" outlineLevel="0" collapsed="false">
      <c r="A78" s="3" t="s">
        <v>439</v>
      </c>
      <c r="B78" s="13" t="s">
        <v>135</v>
      </c>
      <c r="C78" s="42" t="n">
        <f aca="false">Historicals!C56/1000</f>
        <v>353.013</v>
      </c>
      <c r="D78" s="42" t="n">
        <f aca="false">Historicals!D56/1000</f>
        <v>133.178</v>
      </c>
      <c r="E78" s="42" t="n">
        <f aca="false">Historicals!E56/1000</f>
        <v>141.534</v>
      </c>
      <c r="F78" s="42" t="n">
        <f aca="false">Historicals!F56/1000</f>
        <v>367.958</v>
      </c>
      <c r="G78" s="42" t="n">
        <f aca="false">Historicals!G56/1000</f>
        <v>-92.589</v>
      </c>
      <c r="H78" s="42" t="n">
        <f aca="false">Historicals!H56/1000</f>
        <v>152.019</v>
      </c>
      <c r="I78" s="42" t="n">
        <f aca="false">Historicals!I56/1000</f>
        <v>-228.021</v>
      </c>
      <c r="J78" s="42" t="n">
        <f aca="false">Historicals!J56/1000</f>
        <v>168.336</v>
      </c>
      <c r="K78" s="56" t="n">
        <f aca="false">SUM(K71:K77)</f>
        <v>-32.2228478381664</v>
      </c>
      <c r="L78" s="56" t="n">
        <f aca="false">SUM(L71:L77)</f>
        <v>-117.327386108494</v>
      </c>
      <c r="M78" s="56" t="n">
        <f aca="false">SUM(M71:M77)</f>
        <v>200.975902813487</v>
      </c>
      <c r="N78" s="56" t="n">
        <f aca="false">SUM(N71:N77)</f>
        <v>-34.3314133840914</v>
      </c>
      <c r="O78" s="56" t="n">
        <f aca="false">SUM(O71:O77)</f>
        <v>-45.6703510984518</v>
      </c>
      <c r="P78" s="56" t="n">
        <f aca="false">SUM(P71:P77)</f>
        <v>-128.972977055996</v>
      </c>
      <c r="R78" s="42" t="n">
        <f aca="false">SUM(E78:H78)</f>
        <v>568.922</v>
      </c>
      <c r="S78" s="56" t="n">
        <f aca="false">SUM(I78:L78)</f>
        <v>-209.23523394666</v>
      </c>
      <c r="T78" s="56" t="n">
        <f aca="false">SUM(M78:P78)</f>
        <v>-7.99883872505161</v>
      </c>
      <c r="U78" s="56" t="n">
        <f aca="false">SUM(U71:U77)</f>
        <v>-42.7268037843331</v>
      </c>
      <c r="V78" s="56" t="n">
        <f aca="false">SUM(V71:V77)</f>
        <v>-98.2524791114534</v>
      </c>
    </row>
    <row r="79" customFormat="false" ht="15" hidden="false" customHeight="false" outlineLevel="0" collapsed="false">
      <c r="A79" s="4" t="s">
        <v>96</v>
      </c>
      <c r="B79" s="13" t="s">
        <v>135</v>
      </c>
      <c r="C79" s="31" t="n">
        <f aca="false">Historicals!C59/1000</f>
        <v>-52.589</v>
      </c>
      <c r="D79" s="31" t="n">
        <f aca="false">Historicals!D59/1000</f>
        <v>-56.139</v>
      </c>
      <c r="E79" s="31" t="n">
        <f aca="false">Historicals!E59/1000</f>
        <v>-29.973</v>
      </c>
      <c r="F79" s="31" t="n">
        <f aca="false">Historicals!F59/1000</f>
        <v>-35.587</v>
      </c>
      <c r="G79" s="31" t="n">
        <f aca="false">Historicals!G59/1000</f>
        <v>-36.53</v>
      </c>
      <c r="H79" s="31" t="n">
        <f aca="false">Historicals!H59/1000</f>
        <v>-51.589</v>
      </c>
      <c r="I79" s="31" t="n">
        <f aca="false">Historicals!I59/1000</f>
        <v>-31.792</v>
      </c>
      <c r="J79" s="31" t="n">
        <f aca="false">Historicals!J59/1000</f>
        <v>-12.902</v>
      </c>
      <c r="K79" s="55" t="n">
        <f aca="false">-(Inputs!$E$36+I79+J79)/2</f>
        <v>-72.653</v>
      </c>
      <c r="L79" s="55" t="n">
        <f aca="false">-(Inputs!$E$36+I79+J79)/2</f>
        <v>-72.653</v>
      </c>
      <c r="M79" s="55" t="n">
        <f aca="false">-Inputs!$E$37/4</f>
        <v>-46.25</v>
      </c>
      <c r="N79" s="55" t="n">
        <f aca="false">-Inputs!$E$37/4</f>
        <v>-46.25</v>
      </c>
      <c r="O79" s="55" t="n">
        <f aca="false">-Inputs!$E$37/4</f>
        <v>-46.25</v>
      </c>
      <c r="P79" s="55" t="n">
        <f aca="false">-Inputs!$E$37/4</f>
        <v>-46.25</v>
      </c>
      <c r="R79" s="31" t="n">
        <f aca="false">SUM(E79:H79)</f>
        <v>-153.679</v>
      </c>
      <c r="S79" s="55" t="n">
        <f aca="false">SUM(I79:L79)</f>
        <v>-190</v>
      </c>
      <c r="T79" s="55" t="n">
        <f aca="false">SUM(M79:P79)</f>
        <v>-185</v>
      </c>
      <c r="U79" s="55" t="n">
        <f aca="false">-Inputs!$E$37</f>
        <v>-185</v>
      </c>
      <c r="V79" s="55" t="n">
        <f aca="false">-Inputs!$E$37</f>
        <v>-185</v>
      </c>
    </row>
    <row r="80" customFormat="false" ht="15" hidden="false" customHeight="false" outlineLevel="0" collapsed="false">
      <c r="A80" s="4" t="s">
        <v>440</v>
      </c>
      <c r="B80" s="13" t="s">
        <v>135</v>
      </c>
      <c r="K80" s="55" t="n">
        <f aca="false">-(K58-J58)</f>
        <v>-0</v>
      </c>
      <c r="L80" s="55" t="n">
        <f aca="false">-(L58-K58)</f>
        <v>-0</v>
      </c>
      <c r="M80" s="55" t="n">
        <f aca="false">-(M58-L58)</f>
        <v>-0</v>
      </c>
      <c r="N80" s="55" t="n">
        <f aca="false">-(N58-M58)</f>
        <v>-0</v>
      </c>
      <c r="O80" s="55" t="n">
        <f aca="false">-(O58-N58)</f>
        <v>-0</v>
      </c>
      <c r="P80" s="55" t="n">
        <f aca="false">-(P58-O58)</f>
        <v>-0</v>
      </c>
      <c r="R80" s="31" t="n">
        <f aca="false">SUM(E80:H80)</f>
        <v>0</v>
      </c>
      <c r="S80" s="55" t="n">
        <f aca="false">SUM(I80:L80)</f>
        <v>0</v>
      </c>
      <c r="T80" s="55" t="n">
        <f aca="false">SUM(M80:P80)</f>
        <v>0</v>
      </c>
      <c r="U80" s="55" t="n">
        <f aca="false">-(U58-T58)</f>
        <v>-0</v>
      </c>
      <c r="V80" s="55" t="n">
        <f aca="false">-(V58-U58)</f>
        <v>-0</v>
      </c>
    </row>
    <row r="81" customFormat="false" ht="15" hidden="false" customHeight="false" outlineLevel="0" collapsed="false">
      <c r="A81" s="3" t="s">
        <v>441</v>
      </c>
      <c r="B81" s="13" t="s">
        <v>135</v>
      </c>
      <c r="C81" s="42" t="n">
        <f aca="false">Historicals!C60/1000</f>
        <v>-89.148</v>
      </c>
      <c r="D81" s="42" t="n">
        <f aca="false">Historicals!D60/1000</f>
        <v>102.847</v>
      </c>
      <c r="E81" s="42" t="n">
        <f aca="false">Historicals!E60/1000</f>
        <v>61.395</v>
      </c>
      <c r="F81" s="42" t="n">
        <f aca="false">Historicals!F60/1000</f>
        <v>-151.249</v>
      </c>
      <c r="G81" s="42" t="n">
        <f aca="false">Historicals!G60/1000</f>
        <v>295.331</v>
      </c>
      <c r="H81" s="42" t="n">
        <f aca="false">Historicals!H60/1000</f>
        <v>3573.298</v>
      </c>
      <c r="I81" s="42" t="n">
        <f aca="false">Historicals!I60/1000</f>
        <v>-92.004</v>
      </c>
      <c r="J81" s="42" t="n">
        <f aca="false">Historicals!J60/1000</f>
        <v>-174.734</v>
      </c>
      <c r="K81" s="56" t="n">
        <f aca="false">K79+K80</f>
        <v>-72.653</v>
      </c>
      <c r="L81" s="56" t="n">
        <f aca="false">L79+L80</f>
        <v>-72.653</v>
      </c>
      <c r="M81" s="56" t="n">
        <f aca="false">M79+M80</f>
        <v>-46.25</v>
      </c>
      <c r="N81" s="56" t="n">
        <f aca="false">N79+N80</f>
        <v>-46.25</v>
      </c>
      <c r="O81" s="56" t="n">
        <f aca="false">O79+O80</f>
        <v>-46.25</v>
      </c>
      <c r="P81" s="56" t="n">
        <f aca="false">P79+P80</f>
        <v>-46.25</v>
      </c>
      <c r="R81" s="42" t="n">
        <f aca="false">SUM(E81:H81)</f>
        <v>3778.775</v>
      </c>
      <c r="S81" s="56" t="n">
        <f aca="false">SUM(I81:L81)</f>
        <v>-412.044</v>
      </c>
      <c r="T81" s="56" t="n">
        <f aca="false">SUM(M81:P81)</f>
        <v>-185</v>
      </c>
      <c r="U81" s="56" t="n">
        <f aca="false">U79+U80</f>
        <v>-185</v>
      </c>
      <c r="V81" s="56" t="n">
        <f aca="false">V79+V80</f>
        <v>-185</v>
      </c>
    </row>
    <row r="82" customFormat="false" ht="15" hidden="false" customHeight="false" outlineLevel="0" collapsed="false">
      <c r="A82" s="4" t="s">
        <v>442</v>
      </c>
      <c r="B82" s="13" t="s">
        <v>135</v>
      </c>
      <c r="K82" s="55" t="n">
        <f aca="false">(K64-J64)</f>
        <v>0</v>
      </c>
      <c r="L82" s="55" t="n">
        <f aca="false">(L64-K64)</f>
        <v>0</v>
      </c>
      <c r="M82" s="55" t="n">
        <f aca="false">(M64-L64)</f>
        <v>0</v>
      </c>
      <c r="N82" s="55" t="n">
        <f aca="false">(N64-M64)</f>
        <v>0</v>
      </c>
      <c r="O82" s="55" t="n">
        <f aca="false">(O64-N64)</f>
        <v>0</v>
      </c>
      <c r="P82" s="55" t="n">
        <f aca="false">(P64-O64)</f>
        <v>0</v>
      </c>
      <c r="R82" s="31" t="n">
        <f aca="false">SUM(E82:H82)</f>
        <v>0</v>
      </c>
      <c r="S82" s="55" t="n">
        <f aca="false">SUM(I82:L82)</f>
        <v>0</v>
      </c>
      <c r="T82" s="55" t="n">
        <f aca="false">SUM(M82:P82)</f>
        <v>0</v>
      </c>
      <c r="U82" s="55" t="n">
        <f aca="false">(U64-T64)</f>
        <v>0</v>
      </c>
      <c r="V82" s="55" t="n">
        <f aca="false">(V64-U64)</f>
        <v>0</v>
      </c>
    </row>
    <row r="83" customFormat="false" ht="15" hidden="false" customHeight="false" outlineLevel="0" collapsed="false">
      <c r="A83" s="4" t="s">
        <v>307</v>
      </c>
      <c r="B83" s="13" t="s">
        <v>135</v>
      </c>
      <c r="C83" s="31" t="n">
        <f aca="false">Historicals!C61/1000</f>
        <v>-22.095</v>
      </c>
      <c r="D83" s="31" t="n">
        <f aca="false">Historicals!D61/1000</f>
        <v>-21.77</v>
      </c>
      <c r="E83" s="31" t="n">
        <f aca="false">Historicals!E61/1000</f>
        <v>-22.921</v>
      </c>
      <c r="F83" s="31" t="n">
        <f aca="false">Historicals!F61/1000</f>
        <v>-21.835</v>
      </c>
      <c r="G83" s="31" t="n">
        <f aca="false">Historicals!G61/1000</f>
        <v>-21.532</v>
      </c>
      <c r="H83" s="31" t="n">
        <f aca="false">Historicals!H61/1000</f>
        <v>-20.1</v>
      </c>
      <c r="I83" s="31" t="n">
        <f aca="false">Historicals!I61/1000</f>
        <v>-21.54</v>
      </c>
      <c r="J83" s="31" t="n">
        <f aca="false">Historicals!J61/1000</f>
        <v>-19.671</v>
      </c>
      <c r="K83" s="55" t="n">
        <f aca="false">-K45*K42</f>
        <v>-20.1825667903525</v>
      </c>
      <c r="L83" s="55" t="n">
        <f aca="false">-L45*L42</f>
        <v>-20.008633580705</v>
      </c>
      <c r="M83" s="55" t="n">
        <f aca="false">-M45*M42</f>
        <v>-20.6280883858998</v>
      </c>
      <c r="N83" s="55" t="n">
        <f aca="false">-N45*N42</f>
        <v>-20.4471978478664</v>
      </c>
      <c r="O83" s="55" t="n">
        <f aca="false">-O45*O42</f>
        <v>-20.266307309833</v>
      </c>
      <c r="P83" s="55" t="n">
        <f aca="false">-P45*P42</f>
        <v>-20.0854167717996</v>
      </c>
      <c r="R83" s="31" t="n">
        <f aca="false">SUM(E83:H83)</f>
        <v>-86.388</v>
      </c>
      <c r="S83" s="55" t="n">
        <f aca="false">SUM(I83:L83)</f>
        <v>-81.4022003710575</v>
      </c>
      <c r="T83" s="55" t="n">
        <f aca="false">SUM(M83:P83)</f>
        <v>-81.4270103153989</v>
      </c>
      <c r="U83" s="55" t="n">
        <f aca="false">-U45*U42</f>
        <v>-81.6740721751392</v>
      </c>
      <c r="V83" s="55" t="n">
        <f aca="false">-V45*V42</f>
        <v>-81.810615767154</v>
      </c>
    </row>
    <row r="84" customFormat="false" ht="15" hidden="false" customHeight="false" outlineLevel="0" collapsed="false">
      <c r="A84" s="4" t="s">
        <v>443</v>
      </c>
      <c r="B84" s="13" t="s">
        <v>135</v>
      </c>
      <c r="C84" s="31" t="n">
        <f aca="false">Historicals!C62/1000</f>
        <v>-150.135</v>
      </c>
      <c r="D84" s="31" t="n">
        <f aca="false">Historicals!D62/1000</f>
        <v>-100.019</v>
      </c>
      <c r="E84" s="31" t="n">
        <f aca="false">Historicals!E62/1000</f>
        <v>-93.095</v>
      </c>
      <c r="F84" s="31" t="n">
        <f aca="false">Historicals!F62/1000</f>
        <v>-0.045</v>
      </c>
      <c r="G84" s="31" t="n">
        <f aca="false">Historicals!G62/1000</f>
        <v>-100.069</v>
      </c>
      <c r="H84" s="31" t="n">
        <f aca="false">Historicals!H62/1000</f>
        <v>-160.061</v>
      </c>
      <c r="I84" s="31" t="n">
        <f aca="false">Historicals!I62/1000</f>
        <v>-70.018</v>
      </c>
      <c r="J84" s="31" t="n">
        <f aca="false">Historicals!J62/1000</f>
        <v>-30.37</v>
      </c>
      <c r="K84" s="55" t="n">
        <f aca="false">-Inputs!$D$92</f>
        <v>-25</v>
      </c>
      <c r="L84" s="55" t="n">
        <f aca="false">-Inputs!$D$92</f>
        <v>-25</v>
      </c>
      <c r="M84" s="55" t="n">
        <f aca="false">-Inputs!$D$92</f>
        <v>-25</v>
      </c>
      <c r="N84" s="55" t="n">
        <f aca="false">-Inputs!$D$92</f>
        <v>-25</v>
      </c>
      <c r="O84" s="55" t="n">
        <f aca="false">-Inputs!$D$92</f>
        <v>-25</v>
      </c>
      <c r="P84" s="55" t="n">
        <f aca="false">-Inputs!$D$92</f>
        <v>-25</v>
      </c>
      <c r="R84" s="31" t="n">
        <f aca="false">SUM(E84:H84)</f>
        <v>-353.27</v>
      </c>
      <c r="S84" s="55" t="n">
        <f aca="false">SUM(I84:L84)</f>
        <v>-150.388</v>
      </c>
      <c r="T84" s="55" t="n">
        <f aca="false">SUM(M84:P84)</f>
        <v>-100</v>
      </c>
      <c r="U84" s="55" t="n">
        <f aca="false">-4*Inputs!$D$92</f>
        <v>-100</v>
      </c>
      <c r="V84" s="55" t="n">
        <f aca="false">-4*Inputs!$D$92</f>
        <v>-100</v>
      </c>
    </row>
    <row r="85" customFormat="false" ht="15" hidden="false" customHeight="false" outlineLevel="0" collapsed="false">
      <c r="A85" s="3" t="s">
        <v>444</v>
      </c>
      <c r="B85" s="13" t="s">
        <v>135</v>
      </c>
      <c r="C85" s="42" t="n">
        <f aca="false">Historicals!C63/1000</f>
        <v>131.462</v>
      </c>
      <c r="D85" s="42" t="n">
        <f aca="false">Historicals!D63/1000</f>
        <v>-885.775</v>
      </c>
      <c r="E85" s="42" t="n">
        <f aca="false">Historicals!E63/1000</f>
        <v>150.185</v>
      </c>
      <c r="F85" s="42" t="n">
        <f aca="false">Historicals!F63/1000</f>
        <v>-566.704</v>
      </c>
      <c r="G85" s="42" t="n">
        <f aca="false">Historicals!G63/1000</f>
        <v>-131.156</v>
      </c>
      <c r="H85" s="42" t="n">
        <f aca="false">Historicals!H63/1000</f>
        <v>-2462.625</v>
      </c>
      <c r="I85" s="42" t="n">
        <f aca="false">Historicals!I63/1000</f>
        <v>-959.337</v>
      </c>
      <c r="J85" s="42" t="n">
        <f aca="false">Historicals!J63/1000</f>
        <v>100.433</v>
      </c>
      <c r="K85" s="56" t="n">
        <f aca="false">SUM(K82:K84)</f>
        <v>-45.1825667903525</v>
      </c>
      <c r="L85" s="56" t="n">
        <f aca="false">SUM(L82:L84)</f>
        <v>-45.008633580705</v>
      </c>
      <c r="M85" s="56" t="n">
        <f aca="false">SUM(M82:M84)</f>
        <v>-45.6280883858998</v>
      </c>
      <c r="N85" s="56" t="n">
        <f aca="false">SUM(N82:N84)</f>
        <v>-45.4471978478664</v>
      </c>
      <c r="O85" s="56" t="n">
        <f aca="false">SUM(O82:O84)</f>
        <v>-45.266307309833</v>
      </c>
      <c r="P85" s="56" t="n">
        <f aca="false">SUM(P82:P84)</f>
        <v>-45.0854167717996</v>
      </c>
      <c r="R85" s="42" t="n">
        <f aca="false">SUM(E85:H85)</f>
        <v>-3010.3</v>
      </c>
      <c r="S85" s="56" t="n">
        <f aca="false">SUM(I85:L85)</f>
        <v>-949.095200371057</v>
      </c>
      <c r="T85" s="56" t="n">
        <f aca="false">SUM(M85:P85)</f>
        <v>-181.427010315399</v>
      </c>
      <c r="U85" s="56" t="n">
        <f aca="false">SUM(U82:U84)</f>
        <v>-181.674072175139</v>
      </c>
      <c r="V85" s="56" t="n">
        <f aca="false">SUM(V82:V84)</f>
        <v>-181.810615767154</v>
      </c>
    </row>
    <row r="86" customFormat="false" ht="15" hidden="false" customHeight="false" outlineLevel="0" collapsed="false">
      <c r="A86" s="4" t="s">
        <v>445</v>
      </c>
      <c r="B86" s="13" t="s">
        <v>135</v>
      </c>
      <c r="C86" s="31" t="n">
        <f aca="false">Historicals!C64/1000</f>
        <v>11.019</v>
      </c>
      <c r="D86" s="31" t="n">
        <f aca="false">Historicals!D64/1000</f>
        <v>-16.343</v>
      </c>
      <c r="E86" s="31" t="n">
        <f aca="false">Historicals!E64/1000</f>
        <v>3.299</v>
      </c>
      <c r="F86" s="31" t="n">
        <f aca="false">Historicals!F64/1000</f>
        <v>9.076</v>
      </c>
      <c r="G86" s="31" t="n">
        <f aca="false">Historicals!G64/1000</f>
        <v>-1.366</v>
      </c>
      <c r="H86" s="31" t="n">
        <f aca="false">Historicals!H64/1000</f>
        <v>2.484</v>
      </c>
      <c r="I86" s="31" t="n">
        <f aca="false">Historicals!I64/1000</f>
        <v>-7.314</v>
      </c>
      <c r="J86" s="31" t="n">
        <f aca="false">Historicals!J64/1000</f>
        <v>-3.314</v>
      </c>
      <c r="K86" s="55" t="n">
        <f aca="false">0</f>
        <v>0</v>
      </c>
      <c r="L86" s="55" t="n">
        <f aca="false">0</f>
        <v>0</v>
      </c>
      <c r="M86" s="55" t="n">
        <f aca="false">0</f>
        <v>0</v>
      </c>
      <c r="N86" s="55" t="n">
        <f aca="false">0</f>
        <v>0</v>
      </c>
      <c r="O86" s="55" t="n">
        <f aca="false">0</f>
        <v>0</v>
      </c>
      <c r="P86" s="55" t="n">
        <f aca="false">0</f>
        <v>0</v>
      </c>
      <c r="R86" s="31" t="n">
        <f aca="false">SUM(E86:H86)</f>
        <v>13.493</v>
      </c>
      <c r="S86" s="55" t="n">
        <f aca="false">SUM(I86:L86)</f>
        <v>-10.628</v>
      </c>
      <c r="T86" s="55" t="n">
        <f aca="false">SUM(M86:P86)</f>
        <v>0</v>
      </c>
      <c r="U86" s="55" t="n">
        <f aca="false">0</f>
        <v>0</v>
      </c>
      <c r="V86" s="55" t="n">
        <f aca="false">0</f>
        <v>0</v>
      </c>
    </row>
    <row r="87" customFormat="false" ht="15" hidden="false" customHeight="false" outlineLevel="0" collapsed="false">
      <c r="A87" s="3" t="s">
        <v>446</v>
      </c>
      <c r="B87" s="13" t="s">
        <v>135</v>
      </c>
      <c r="C87" s="42" t="n">
        <f aca="false">C78+C81+C85+C86</f>
        <v>406.346</v>
      </c>
      <c r="D87" s="42" t="n">
        <f aca="false">D78+D81+D85+D86</f>
        <v>-666.093</v>
      </c>
      <c r="E87" s="42" t="n">
        <f aca="false">E78+E81+E85+E86</f>
        <v>356.413</v>
      </c>
      <c r="F87" s="42" t="n">
        <f aca="false">F78+F81+F85+F86</f>
        <v>-340.919</v>
      </c>
      <c r="G87" s="42" t="n">
        <f aca="false">G78+G81+G85+G86</f>
        <v>70.22</v>
      </c>
      <c r="H87" s="42" t="n">
        <f aca="false">H78+H81+H85+H86</f>
        <v>1265.176</v>
      </c>
      <c r="I87" s="42" t="n">
        <f aca="false">I78+I81+I85+I86</f>
        <v>-1286.676</v>
      </c>
      <c r="J87" s="42" t="n">
        <f aca="false">J78+J81+J85+J86</f>
        <v>90.721</v>
      </c>
      <c r="K87" s="56" t="n">
        <f aca="false">K78+K81+K85+K86</f>
        <v>-150.058414628519</v>
      </c>
      <c r="L87" s="56" t="n">
        <f aca="false">L78+L81+L85+L86</f>
        <v>-234.989019689199</v>
      </c>
      <c r="M87" s="56" t="n">
        <f aca="false">M78+M81+M85+M86</f>
        <v>109.097814427588</v>
      </c>
      <c r="N87" s="56" t="n">
        <f aca="false">N78+N81+N85+N86</f>
        <v>-126.028611231958</v>
      </c>
      <c r="O87" s="56" t="n">
        <f aca="false">O78+O81+O85+O86</f>
        <v>-137.186658408285</v>
      </c>
      <c r="P87" s="56" t="n">
        <f aca="false">P78+P81+P85+P86</f>
        <v>-220.308393827795</v>
      </c>
      <c r="R87" s="42" t="n">
        <f aca="false">SUM(E87:H87)</f>
        <v>1350.89</v>
      </c>
      <c r="S87" s="56" t="n">
        <f aca="false">SUM(I87:L87)</f>
        <v>-1581.00243431772</v>
      </c>
      <c r="T87" s="56" t="n">
        <f aca="false">SUM(M87:P87)</f>
        <v>-374.425849040451</v>
      </c>
      <c r="U87" s="56" t="n">
        <f aca="false">U78+U81+U85+U86</f>
        <v>-409.400875959472</v>
      </c>
      <c r="V87" s="56" t="n">
        <f aca="false">V78+V81+V85+V86</f>
        <v>-465.063094878607</v>
      </c>
    </row>
    <row r="88" customFormat="false" ht="15" hidden="false" customHeight="false" outlineLevel="0" collapsed="false">
      <c r="A88" s="3" t="s">
        <v>447</v>
      </c>
      <c r="B88" s="13" t="s">
        <v>135</v>
      </c>
      <c r="C88" s="42" t="n">
        <f aca="false">C78+C79</f>
        <v>300.424</v>
      </c>
      <c r="D88" s="42" t="n">
        <f aca="false">D78+D79</f>
        <v>77.039</v>
      </c>
      <c r="E88" s="42" t="n">
        <f aca="false">E78+E79</f>
        <v>111.561</v>
      </c>
      <c r="F88" s="42" t="n">
        <f aca="false">F78+F79</f>
        <v>332.371</v>
      </c>
      <c r="G88" s="42" t="n">
        <f aca="false">G78+G79</f>
        <v>-129.119</v>
      </c>
      <c r="H88" s="42" t="n">
        <f aca="false">H78+H79</f>
        <v>100.43</v>
      </c>
      <c r="I88" s="42" t="n">
        <f aca="false">I78+I79</f>
        <v>-259.813</v>
      </c>
      <c r="J88" s="42" t="n">
        <f aca="false">J78+J79</f>
        <v>155.434</v>
      </c>
      <c r="K88" s="56" t="n">
        <f aca="false">K78+K79</f>
        <v>-104.875847838166</v>
      </c>
      <c r="L88" s="56" t="n">
        <f aca="false">L78+L79</f>
        <v>-189.980386108494</v>
      </c>
      <c r="M88" s="56" t="n">
        <f aca="false">M78+M79</f>
        <v>154.725902813487</v>
      </c>
      <c r="N88" s="56" t="n">
        <f aca="false">N78+N79</f>
        <v>-80.5814133840914</v>
      </c>
      <c r="O88" s="56" t="n">
        <f aca="false">O78+O79</f>
        <v>-91.9203510984518</v>
      </c>
      <c r="P88" s="56" t="n">
        <f aca="false">P78+P79</f>
        <v>-175.222977055996</v>
      </c>
      <c r="R88" s="42" t="n">
        <f aca="false">SUM(E88:H88)</f>
        <v>415.243</v>
      </c>
      <c r="S88" s="56" t="n">
        <f aca="false">SUM(I88:L88)</f>
        <v>-399.23523394666</v>
      </c>
      <c r="T88" s="56" t="n">
        <f aca="false">SUM(M88:P88)</f>
        <v>-192.998838725052</v>
      </c>
      <c r="U88" s="56" t="n">
        <f aca="false">U78+U79</f>
        <v>-227.726803784333</v>
      </c>
      <c r="V88" s="56" t="n">
        <f aca="false">V78+V79</f>
        <v>-283.252479111453</v>
      </c>
    </row>
    <row r="90" customFormat="false" ht="15" hidden="false" customHeight="false" outlineLevel="0" collapsed="false">
      <c r="A90" s="16" t="s">
        <v>448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R90" s="17"/>
      <c r="S90" s="17"/>
      <c r="T90" s="17"/>
      <c r="U90" s="17"/>
      <c r="V90" s="17"/>
    </row>
    <row r="91" customFormat="false" ht="15" hidden="false" customHeight="false" outlineLevel="0" collapsed="false">
      <c r="A91" s="4" t="s">
        <v>449</v>
      </c>
      <c r="B91" s="13" t="s">
        <v>135</v>
      </c>
      <c r="R91" s="31" t="n">
        <f aca="false">R33*(1-Inputs!$E$29)</f>
        <v>297.70895</v>
      </c>
      <c r="S91" s="55" t="n">
        <f aca="false">S33*(1-Inputs!$E$29)</f>
        <v>-81.9848617530497</v>
      </c>
      <c r="T91" s="55" t="n">
        <f aca="false">T33*(1-Inputs!$E$29)</f>
        <v>-259.018426835779</v>
      </c>
      <c r="U91" s="55" t="n">
        <f aca="false">U33*(1-Inputs!$E$29)</f>
        <v>-314.777357583529</v>
      </c>
      <c r="V91" s="55" t="n">
        <f aca="false">V33*(1-Inputs!$E$29)</f>
        <v>-370.289633243928</v>
      </c>
    </row>
    <row r="92" customFormat="false" ht="15" hidden="false" customHeight="false" outlineLevel="0" collapsed="false">
      <c r="A92" s="4" t="s">
        <v>450</v>
      </c>
      <c r="B92" s="13" t="s">
        <v>135</v>
      </c>
      <c r="C92" s="31" t="n">
        <f aca="false">C66+C64-C56</f>
        <v>9010.345</v>
      </c>
      <c r="D92" s="31" t="n">
        <f aca="false">D66+D64-D56</f>
        <v>8566.712</v>
      </c>
      <c r="E92" s="31" t="n">
        <f aca="false">E66+E64-E56</f>
        <v>8571.62</v>
      </c>
      <c r="F92" s="31" t="n">
        <f aca="false">F66+F64-F56</f>
        <v>8668.322</v>
      </c>
      <c r="G92" s="31" t="n">
        <f aca="false">G66+G64-G56</f>
        <v>7189.299</v>
      </c>
      <c r="H92" s="31" t="n">
        <f aca="false">H66+H64-H56</f>
        <v>3312.218</v>
      </c>
      <c r="I92" s="31" t="n">
        <f aca="false">I66+I64-I56</f>
        <v>3655.505</v>
      </c>
      <c r="J92" s="31" t="n">
        <f aca="false">J66+J64-J56</f>
        <v>3729.105</v>
      </c>
      <c r="K92" s="55" t="n">
        <f aca="false">K66+K64-K56</f>
        <v>3828.72284983774</v>
      </c>
      <c r="L92" s="55" t="n">
        <f aca="false">L66+L64-L56</f>
        <v>3910.15429219361</v>
      </c>
      <c r="M92" s="55" t="n">
        <f aca="false">M66+M64-M56</f>
        <v>3729.27478796076</v>
      </c>
      <c r="N92" s="55" t="n">
        <f aca="false">N66+N64-N56</f>
        <v>3817.29687152953</v>
      </c>
      <c r="O92" s="55" t="n">
        <f aca="false">O66+O64-O56</f>
        <v>3883.72262510658</v>
      </c>
      <c r="P92" s="55" t="n">
        <f aca="false">P66+P64-P56</f>
        <v>3933.72670408288</v>
      </c>
      <c r="R92" s="31" t="n">
        <f aca="false">R66+R64-R56</f>
        <v>3312.218</v>
      </c>
      <c r="S92" s="55" t="n">
        <f aca="false">S66+S64-S56</f>
        <v>3910.15429219361</v>
      </c>
      <c r="T92" s="55" t="n">
        <f aca="false">T66+T64-T56</f>
        <v>3933.72670408288</v>
      </c>
      <c r="U92" s="55" t="n">
        <f aca="false">U66+U64-U56</f>
        <v>3936.26815028369</v>
      </c>
      <c r="V92" s="55" t="n">
        <f aca="false">V66+V64-V56</f>
        <v>3938.82299615121</v>
      </c>
    </row>
    <row r="93" customFormat="false" ht="15" hidden="false" customHeight="false" outlineLevel="0" collapsed="false">
      <c r="A93" s="4" t="s">
        <v>451</v>
      </c>
      <c r="B93" s="13" t="s">
        <v>73</v>
      </c>
      <c r="R93" s="30" t="n">
        <f aca="false">R91/AVERAGE(D92,R92)</f>
        <v>0.0501238663751701</v>
      </c>
      <c r="S93" s="51" t="n">
        <f aca="false">S91/AVERAGE(R92,S92)</f>
        <v>-0.0227030284333761</v>
      </c>
      <c r="T93" s="51" t="n">
        <f aca="false">T91/AVERAGE(S92,T92)</f>
        <v>-0.066043436140537</v>
      </c>
      <c r="U93" s="51" t="n">
        <f aca="false">U91/AVERAGE(T92,U92)</f>
        <v>-0.0799942981942051</v>
      </c>
      <c r="V93" s="51" t="n">
        <f aca="false">V91/AVERAGE(U92,V92)</f>
        <v>-0.0940407231760258</v>
      </c>
    </row>
    <row r="94" customFormat="false" ht="15" hidden="false" customHeight="false" outlineLevel="0" collapsed="false">
      <c r="A94" s="4" t="s">
        <v>452</v>
      </c>
      <c r="B94" s="13" t="s">
        <v>135</v>
      </c>
      <c r="R94" s="31" t="n">
        <f aca="false">R26*(1-Inputs!$E$29)</f>
        <v>-22.1221000000001</v>
      </c>
      <c r="S94" s="55" t="n">
        <f aca="false">S26*(1-Inputs!$E$29)</f>
        <v>-62.7348617530497</v>
      </c>
      <c r="T94" s="55" t="n">
        <f aca="false">T26*(1-Inputs!$E$29)</f>
        <v>-235.918426835779</v>
      </c>
      <c r="U94" s="55" t="n">
        <f aca="false">U26*(1-Inputs!$E$29)</f>
        <v>-295.527357583529</v>
      </c>
      <c r="V94" s="55" t="n">
        <f aca="false">V26*(1-Inputs!$E$29)</f>
        <v>-354.889633243928</v>
      </c>
    </row>
    <row r="95" customFormat="false" ht="15" hidden="false" customHeight="false" outlineLevel="0" collapsed="false">
      <c r="A95" s="4" t="s">
        <v>453</v>
      </c>
      <c r="B95" s="13" t="s">
        <v>135</v>
      </c>
      <c r="C95" s="31" t="n">
        <f aca="false">C57+C59+C61-C63</f>
        <v>1694.481</v>
      </c>
      <c r="D95" s="31" t="n">
        <f aca="false">D57+D59+D61-D63</f>
        <v>1715.574</v>
      </c>
      <c r="E95" s="31" t="n">
        <f aca="false">E57+E59+E61-E63</f>
        <v>1541.978</v>
      </c>
      <c r="F95" s="31" t="n">
        <f aca="false">F57+F59+F61-F63</f>
        <v>1618.901</v>
      </c>
      <c r="G95" s="31" t="n">
        <f aca="false">G57+G59+G61-G63</f>
        <v>1506.527</v>
      </c>
      <c r="H95" s="31" t="n">
        <f aca="false">H57+H59+H61-H63</f>
        <v>1634.27</v>
      </c>
      <c r="I95" s="31" t="n">
        <f aca="false">I57+I59+I61-I63</f>
        <v>1351.335</v>
      </c>
      <c r="J95" s="31" t="n">
        <f aca="false">J57+J59+J61-J63</f>
        <v>1421.056</v>
      </c>
      <c r="K95" s="55" t="n">
        <f aca="false">K57+K59+K61-K63</f>
        <v>1520.67384983774</v>
      </c>
      <c r="L95" s="55" t="n">
        <f aca="false">L57+L59+L61-L63</f>
        <v>1602.10529219361</v>
      </c>
      <c r="M95" s="55" t="n">
        <f aca="false">M57+M59+M61-M63</f>
        <v>1421.22578796076</v>
      </c>
      <c r="N95" s="55" t="n">
        <f aca="false">N57+N59+N61-N63</f>
        <v>1509.24787152953</v>
      </c>
      <c r="O95" s="55" t="n">
        <f aca="false">O57+O59+O61-O63</f>
        <v>1575.67362510658</v>
      </c>
      <c r="P95" s="55" t="n">
        <f aca="false">P57+P59+P61-P63</f>
        <v>1625.67770408288</v>
      </c>
      <c r="R95" s="31" t="n">
        <f aca="false">R57+R59+R61-R63</f>
        <v>1634.27</v>
      </c>
      <c r="S95" s="55" t="n">
        <f aca="false">S57+S59+S61-S63</f>
        <v>1602.10529219361</v>
      </c>
      <c r="T95" s="55" t="n">
        <f aca="false">T57+T59+T61-T63</f>
        <v>1625.67770408288</v>
      </c>
      <c r="U95" s="55" t="n">
        <f aca="false">U57+U59+U61-U63</f>
        <v>1628.21915028369</v>
      </c>
      <c r="V95" s="55" t="n">
        <f aca="false">V57+V59+V61-V63</f>
        <v>1630.77399615121</v>
      </c>
    </row>
    <row r="96" customFormat="false" ht="15" hidden="false" customHeight="false" outlineLevel="0" collapsed="false">
      <c r="A96" s="4" t="s">
        <v>454</v>
      </c>
      <c r="B96" s="13" t="s">
        <v>73</v>
      </c>
      <c r="R96" s="30" t="n">
        <f aca="false">R94/R95</f>
        <v>-0.0135363801575016</v>
      </c>
      <c r="S96" s="51" t="n">
        <f aca="false">S94/S95</f>
        <v>-0.0391577645106913</v>
      </c>
      <c r="T96" s="51" t="n">
        <f aca="false">T94/T95</f>
        <v>-0.145120048237896</v>
      </c>
      <c r="U96" s="51" t="n">
        <f aca="false">U94/U95</f>
        <v>-0.181503428166927</v>
      </c>
      <c r="V96" s="51" t="n">
        <f aca="false">V94/V95</f>
        <v>-0.217620365594192</v>
      </c>
    </row>
    <row r="97" customFormat="false" ht="15" hidden="false" customHeight="false" outlineLevel="0" collapsed="false">
      <c r="A97" s="4" t="s">
        <v>455</v>
      </c>
      <c r="B97" s="13" t="s">
        <v>73</v>
      </c>
      <c r="S97" s="51" t="n">
        <f aca="false">S41/AVERAGE(R66,S66)</f>
        <v>-0.00824167867094893</v>
      </c>
      <c r="T97" s="51" t="n">
        <f aca="false">T41/AVERAGE(S66,T66)</f>
        <v>-0.0736047863083125</v>
      </c>
      <c r="U97" s="51" t="n">
        <f aca="false">U41/AVERAGE(T66,U66)</f>
        <v>-0.109187445637098</v>
      </c>
      <c r="V97" s="51" t="n">
        <f aca="false">V41/AVERAGE(U66,V66)</f>
        <v>-0.162864721943742</v>
      </c>
    </row>
    <row r="99" customFormat="false" ht="15" hidden="false" customHeight="false" outlineLevel="0" collapsed="false">
      <c r="A99" s="16" t="s">
        <v>317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R99" s="17"/>
      <c r="S99" s="17"/>
      <c r="T99" s="17"/>
      <c r="U99" s="17"/>
      <c r="V99" s="17"/>
    </row>
    <row r="100" customFormat="false" ht="15" hidden="false" customHeight="false" outlineLevel="0" collapsed="false">
      <c r="A100" s="4" t="s">
        <v>456</v>
      </c>
      <c r="B100" s="13" t="s">
        <v>135</v>
      </c>
      <c r="S100" s="50"/>
      <c r="T100" s="55" t="n">
        <f aca="false">T49</f>
        <v>-214.387567319194</v>
      </c>
      <c r="U100" s="50"/>
      <c r="V100" s="50"/>
    </row>
    <row r="101" customFormat="false" ht="15" hidden="false" customHeight="false" outlineLevel="0" collapsed="false">
      <c r="A101" s="4" t="s">
        <v>368</v>
      </c>
      <c r="B101" s="13" t="s">
        <v>138</v>
      </c>
      <c r="S101" s="50"/>
      <c r="T101" s="66" t="n">
        <f aca="false">Inputs!$D$93</f>
        <v>5.5</v>
      </c>
      <c r="U101" s="50"/>
      <c r="V101" s="50"/>
    </row>
    <row r="102" customFormat="false" ht="15" hidden="false" customHeight="false" outlineLevel="0" collapsed="false">
      <c r="A102" s="4" t="s">
        <v>457</v>
      </c>
      <c r="B102" s="13" t="s">
        <v>135</v>
      </c>
      <c r="S102" s="50"/>
      <c r="T102" s="55" t="n">
        <f aca="false">MAX(0,T100*T101)</f>
        <v>0</v>
      </c>
      <c r="U102" s="50"/>
      <c r="V102" s="50"/>
    </row>
    <row r="103" customFormat="false" ht="15" hidden="false" customHeight="false" outlineLevel="0" collapsed="false">
      <c r="A103" s="4" t="s">
        <v>458</v>
      </c>
      <c r="B103" s="13" t="s">
        <v>135</v>
      </c>
      <c r="S103" s="50"/>
      <c r="T103" s="55" t="n">
        <f aca="false">T31*(1-Inputs!$E$29)</f>
        <v>38.5</v>
      </c>
      <c r="U103" s="50"/>
      <c r="V103" s="50"/>
    </row>
    <row r="104" customFormat="false" ht="15" hidden="false" customHeight="false" outlineLevel="0" collapsed="false">
      <c r="A104" s="4" t="s">
        <v>459</v>
      </c>
      <c r="B104" s="13" t="s">
        <v>135</v>
      </c>
      <c r="S104" s="50"/>
      <c r="T104" s="55" t="n">
        <f aca="false">T103*Inputs!$D$94</f>
        <v>269.5</v>
      </c>
      <c r="U104" s="50"/>
      <c r="V104" s="50"/>
    </row>
    <row r="105" customFormat="false" ht="15" hidden="false" customHeight="false" outlineLevel="0" collapsed="false">
      <c r="A105" s="4" t="s">
        <v>460</v>
      </c>
      <c r="B105" s="13" t="s">
        <v>135</v>
      </c>
      <c r="S105" s="50"/>
      <c r="T105" s="55" t="n">
        <f aca="false">Inputs!$E$49</f>
        <v>50</v>
      </c>
      <c r="U105" s="50"/>
      <c r="V105" s="50"/>
    </row>
    <row r="106" customFormat="false" ht="15" hidden="false" customHeight="false" outlineLevel="0" collapsed="false">
      <c r="A106" s="4" t="s">
        <v>461</v>
      </c>
      <c r="B106" s="13" t="s">
        <v>135</v>
      </c>
      <c r="S106" s="50"/>
      <c r="T106" s="55" t="n">
        <f aca="false">Inputs!$E$48</f>
        <v>985.958</v>
      </c>
      <c r="U106" s="50"/>
      <c r="V106" s="50"/>
    </row>
    <row r="107" customFormat="false" ht="15" hidden="false" customHeight="false" outlineLevel="0" collapsed="false">
      <c r="A107" s="3" t="s">
        <v>462</v>
      </c>
      <c r="B107" s="13" t="s">
        <v>135</v>
      </c>
      <c r="S107" s="50"/>
      <c r="T107" s="56" t="n">
        <f aca="false">T102+T104+T105+T106</f>
        <v>1305.458</v>
      </c>
      <c r="U107" s="50"/>
      <c r="V107" s="50"/>
    </row>
    <row r="108" customFormat="false" ht="15" hidden="false" customHeight="false" outlineLevel="0" collapsed="false">
      <c r="A108" s="3" t="s">
        <v>463</v>
      </c>
      <c r="B108" s="13" t="s">
        <v>59</v>
      </c>
      <c r="S108" s="50"/>
      <c r="T108" s="59" t="n">
        <f aca="false">T107/Inputs!$E$50</f>
        <v>12.4329333333333</v>
      </c>
      <c r="U108" s="50"/>
      <c r="V108" s="50"/>
    </row>
    <row r="109" customFormat="false" ht="15" hidden="false" customHeight="false" outlineLevel="0" collapsed="false">
      <c r="A109" s="4" t="s">
        <v>464</v>
      </c>
      <c r="B109" s="13" t="s">
        <v>135</v>
      </c>
      <c r="S109" s="55" t="n">
        <f aca="false">(S26+S29)*(1-Inputs!$E$29)+S48+S79+S74+S75+S76</f>
        <v>-263.37815394666</v>
      </c>
      <c r="T109" s="55" t="n">
        <f aca="false">(T26+T29)*(1-Inputs!$E$29)+T48+T79+T74+T75+T76</f>
        <v>-321.090838725052</v>
      </c>
      <c r="U109" s="55" t="n">
        <f aca="false">(U26+U29)*(1-Inputs!$E$29)+U48+U79+U74+U75+U76</f>
        <v>-355.818803784333</v>
      </c>
      <c r="V109" s="55" t="n">
        <f aca="false">(V26+V29)*(1-Inputs!$E$29)+V48+V79+V74+V75+V76</f>
        <v>-411.344479111453</v>
      </c>
    </row>
    <row r="110" customFormat="false" ht="15" hidden="false" customHeight="false" outlineLevel="0" collapsed="false">
      <c r="A110" s="4" t="s">
        <v>465</v>
      </c>
      <c r="B110" s="13" t="s">
        <v>200</v>
      </c>
      <c r="S110" s="50"/>
      <c r="T110" s="67" t="n">
        <f aca="false">Inputs!$E$51</f>
        <v>0.75</v>
      </c>
      <c r="U110" s="67" t="n">
        <f aca="false">Inputs!$E$51+1</f>
        <v>1.75</v>
      </c>
      <c r="V110" s="67" t="n">
        <f aca="false">Inputs!$E$51+2</f>
        <v>2.75</v>
      </c>
    </row>
    <row r="111" customFormat="false" ht="15" hidden="false" customHeight="false" outlineLevel="0" collapsed="false">
      <c r="A111" s="4" t="s">
        <v>466</v>
      </c>
      <c r="B111" s="13" t="s">
        <v>135</v>
      </c>
      <c r="S111" s="50"/>
      <c r="T111" s="55" t="n">
        <f aca="false">T109/(1+Inputs!$D$95)^T110</f>
        <v>-296.917421568816</v>
      </c>
      <c r="U111" s="55" t="n">
        <f aca="false">U109/(1+Inputs!$D$95)^U110</f>
        <v>-296.424217730488</v>
      </c>
      <c r="V111" s="55" t="n">
        <f aca="false">V109/(1+Inputs!$D$95)^V110</f>
        <v>-308.72193035946</v>
      </c>
    </row>
    <row r="112" customFormat="false" ht="15" hidden="false" customHeight="false" outlineLevel="0" collapsed="false">
      <c r="A112" s="4" t="s">
        <v>467</v>
      </c>
      <c r="B112" s="13" t="s">
        <v>135</v>
      </c>
      <c r="S112" s="50"/>
      <c r="T112" s="50"/>
      <c r="U112" s="50"/>
      <c r="V112" s="55" t="n">
        <f aca="false">MAX(0,V109)*(1+Inputs!$D$96)/(Inputs!$D$95-Inputs!$D$96)</f>
        <v>0</v>
      </c>
    </row>
    <row r="113" customFormat="false" ht="15" hidden="false" customHeight="false" outlineLevel="0" collapsed="false">
      <c r="A113" s="4" t="s">
        <v>468</v>
      </c>
      <c r="B113" s="13" t="s">
        <v>135</v>
      </c>
      <c r="S113" s="50"/>
      <c r="T113" s="50"/>
      <c r="U113" s="50"/>
      <c r="V113" s="55" t="n">
        <f aca="false">V112/(1+Inputs!$D$95)^(V110+Inputs!$E$52)</f>
        <v>0</v>
      </c>
    </row>
    <row r="114" customFormat="false" ht="15" hidden="false" customHeight="false" outlineLevel="0" collapsed="false">
      <c r="A114" s="4" t="s">
        <v>469</v>
      </c>
      <c r="B114" s="13" t="s">
        <v>135</v>
      </c>
      <c r="S114" s="50"/>
      <c r="T114" s="55" t="n">
        <f aca="false">IF(Inputs!$E$53=1,MAX(0,SUM(T111:V111)+V113),SUM(T111:V111)+V113)</f>
        <v>0</v>
      </c>
      <c r="U114" s="50"/>
      <c r="V114" s="50"/>
    </row>
    <row r="115" customFormat="false" ht="15" hidden="false" customHeight="false" outlineLevel="0" collapsed="false">
      <c r="A115" s="3" t="s">
        <v>470</v>
      </c>
      <c r="B115" s="13" t="s">
        <v>135</v>
      </c>
      <c r="S115" s="50"/>
      <c r="T115" s="56" t="n">
        <f aca="false">T114+T104+T105+T106</f>
        <v>1305.458</v>
      </c>
      <c r="U115" s="50"/>
      <c r="V115" s="50"/>
    </row>
    <row r="116" customFormat="false" ht="15" hidden="false" customHeight="false" outlineLevel="0" collapsed="false">
      <c r="A116" s="3" t="s">
        <v>471</v>
      </c>
      <c r="B116" s="13" t="s">
        <v>59</v>
      </c>
      <c r="S116" s="50"/>
      <c r="T116" s="59" t="n">
        <f aca="false">T115/Inputs!$E$50</f>
        <v>12.4329333333333</v>
      </c>
      <c r="U116" s="50"/>
      <c r="V116" s="50"/>
    </row>
    <row r="117" customFormat="false" ht="15" hidden="false" customHeight="false" outlineLevel="0" collapsed="false">
      <c r="A117" s="3" t="s">
        <v>339</v>
      </c>
      <c r="B117" s="13" t="s">
        <v>59</v>
      </c>
      <c r="S117" s="50"/>
      <c r="T117" s="59" t="n">
        <f aca="false">Inputs!$D$97*T116+(1-Inputs!$D$97)*T108</f>
        <v>12.4329333333333</v>
      </c>
      <c r="U117" s="50"/>
      <c r="V117" s="50"/>
    </row>
    <row r="118" customFormat="false" ht="15" hidden="false" customHeight="false" outlineLevel="0" collapsed="false">
      <c r="A118" s="3" t="s">
        <v>340</v>
      </c>
      <c r="B118" s="13" t="s">
        <v>73</v>
      </c>
      <c r="S118" s="50"/>
      <c r="T118" s="68" t="n">
        <f aca="false">T117/Inputs!$E$5-1</f>
        <v>-0.538666666666667</v>
      </c>
      <c r="U118" s="50"/>
      <c r="V118" s="50"/>
    </row>
    <row r="119" customFormat="false" ht="15" hidden="false" customHeight="false" outlineLevel="0" collapsed="false">
      <c r="A119" s="4" t="s">
        <v>472</v>
      </c>
      <c r="B119" s="13" t="s">
        <v>138</v>
      </c>
      <c r="S119" s="50"/>
      <c r="T119" s="66" t="str">
        <f aca="false">IF(T43&gt;0,T117/T43,"n.m.")</f>
        <v>n.m.</v>
      </c>
      <c r="U119" s="50"/>
      <c r="V119" s="50"/>
    </row>
    <row r="120" customFormat="false" ht="15" hidden="false" customHeight="false" outlineLevel="0" collapsed="false">
      <c r="A120" s="4" t="s">
        <v>473</v>
      </c>
      <c r="B120" s="13" t="s">
        <v>138</v>
      </c>
      <c r="S120" s="50"/>
      <c r="T120" s="66" t="n">
        <f aca="false">T117*Inputs!$E$50/T66</f>
        <v>0.509712090446084</v>
      </c>
      <c r="U120" s="50"/>
      <c r="V120" s="5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6" min="3" style="0" width="10.51"/>
    <col collapsed="false" customWidth="true" hidden="false" outlineLevel="0" max="17" min="17" style="0" width="2"/>
    <col collapsed="false" customWidth="true" hidden="false" outlineLevel="0" max="22" min="18" style="0" width="10.51"/>
  </cols>
  <sheetData>
    <row r="1" customFormat="false" ht="15" hidden="false" customHeight="false" outlineLevel="0" collapsed="false">
      <c r="A1" s="12" t="s">
        <v>475</v>
      </c>
    </row>
    <row r="2" customFormat="false" ht="15" hidden="false" customHeight="false" outlineLevel="0" collapsed="false">
      <c r="A2" s="13" t="s">
        <v>375</v>
      </c>
    </row>
    <row r="4" customFormat="false" ht="15" hidden="false" customHeight="false" outlineLevel="0" collapsed="false">
      <c r="A4" s="48"/>
      <c r="B4" s="48"/>
      <c r="C4" s="15" t="s">
        <v>29</v>
      </c>
      <c r="D4" s="15" t="s">
        <v>30</v>
      </c>
      <c r="E4" s="15" t="s">
        <v>31</v>
      </c>
      <c r="F4" s="15" t="s">
        <v>32</v>
      </c>
      <c r="G4" s="15" t="s">
        <v>33</v>
      </c>
      <c r="H4" s="15" t="s">
        <v>34</v>
      </c>
      <c r="I4" s="15" t="s">
        <v>35</v>
      </c>
      <c r="J4" s="15" t="s">
        <v>36</v>
      </c>
      <c r="K4" s="15" t="s">
        <v>376</v>
      </c>
      <c r="L4" s="15" t="s">
        <v>377</v>
      </c>
      <c r="M4" s="15" t="s">
        <v>378</v>
      </c>
      <c r="N4" s="15" t="s">
        <v>379</v>
      </c>
      <c r="O4" s="15" t="s">
        <v>380</v>
      </c>
      <c r="P4" s="15" t="s">
        <v>381</v>
      </c>
      <c r="R4" s="15" t="s">
        <v>382</v>
      </c>
      <c r="S4" s="15" t="s">
        <v>383</v>
      </c>
      <c r="T4" s="15" t="s">
        <v>384</v>
      </c>
      <c r="U4" s="15" t="s">
        <v>385</v>
      </c>
      <c r="V4" s="15" t="s">
        <v>386</v>
      </c>
    </row>
    <row r="5" customFormat="false" ht="15" hidden="false" customHeight="false" outlineLevel="0" collapsed="false">
      <c r="A5" s="16" t="s">
        <v>387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R5" s="17"/>
      <c r="S5" s="17"/>
      <c r="T5" s="17"/>
      <c r="U5" s="17"/>
      <c r="V5" s="17"/>
    </row>
    <row r="6" customFormat="false" ht="15" hidden="false" customHeight="false" outlineLevel="0" collapsed="false">
      <c r="A6" s="4" t="s">
        <v>388</v>
      </c>
      <c r="B6" s="13" t="s">
        <v>63</v>
      </c>
      <c r="C6" s="21" t="n">
        <f aca="false">Historicals!C32+Historicals!C33+Historicals!C34+Historicals!C35</f>
        <v>36166</v>
      </c>
      <c r="D6" s="21" t="n">
        <f aca="false">Historicals!D32+Historicals!D33+Historicals!D34+Historicals!D35</f>
        <v>25660</v>
      </c>
      <c r="E6" s="21" t="n">
        <f aca="false">Historicals!E32+Historicals!E33+Historicals!E34+Historicals!E35</f>
        <v>31010</v>
      </c>
      <c r="F6" s="21" t="n">
        <f aca="false">Historicals!F32+Historicals!F33+Historicals!F34+Historicals!F35</f>
        <v>42254</v>
      </c>
      <c r="G6" s="21" t="n">
        <f aca="false">Historicals!G32+Historicals!G33+Historicals!G34+Historicals!G35</f>
        <v>33984</v>
      </c>
      <c r="H6" s="21" t="n">
        <f aca="false">Historicals!H32+Historicals!H33+Historicals!H34+Historicals!H35</f>
        <v>25287</v>
      </c>
      <c r="I6" s="21" t="n">
        <f aca="false">Historicals!I32+Historicals!I33+Historicals!I34+Historicals!I35</f>
        <v>33507</v>
      </c>
      <c r="J6" s="21" t="n">
        <f aca="false">Historicals!J32+Historicals!J33+Historicals!J34+Historicals!J35</f>
        <v>42467</v>
      </c>
      <c r="K6" s="49" t="n">
        <f aca="false">G6*(1+Inputs!$F$66)</f>
        <v>36702.72</v>
      </c>
      <c r="L6" s="49" t="n">
        <f aca="false">H6*(1+Inputs!$F$66)</f>
        <v>27309.96</v>
      </c>
      <c r="M6" s="49" t="n">
        <f aca="false">I6*(1+Inputs!$F$67)</f>
        <v>34847.28</v>
      </c>
      <c r="N6" s="49" t="n">
        <f aca="false">J6*(1+Inputs!$F$67)</f>
        <v>44165.68</v>
      </c>
      <c r="O6" s="49" t="n">
        <f aca="false">K6*(1+Inputs!$F$67)</f>
        <v>38170.8288</v>
      </c>
      <c r="P6" s="49" t="n">
        <f aca="false">L6*(1+Inputs!$F$67)</f>
        <v>28402.3584</v>
      </c>
      <c r="R6" s="21" t="n">
        <f aca="false">SUM(E6:H6)</f>
        <v>132535</v>
      </c>
      <c r="S6" s="49" t="n">
        <f aca="false">SUM(I6:L6)</f>
        <v>139986.68</v>
      </c>
      <c r="T6" s="49" t="n">
        <f aca="false">SUM(M6:P6)</f>
        <v>145586.1472</v>
      </c>
      <c r="U6" s="49" t="n">
        <f aca="false">T6*(1+Inputs!$F$68)</f>
        <v>149953.731616</v>
      </c>
      <c r="V6" s="49" t="n">
        <f aca="false">U6*(1+Inputs!$F$69)</f>
        <v>152952.80624832</v>
      </c>
    </row>
    <row r="7" customFormat="false" ht="15" hidden="false" customHeight="false" outlineLevel="0" collapsed="false">
      <c r="A7" s="4" t="s">
        <v>389</v>
      </c>
      <c r="B7" s="13" t="s">
        <v>63</v>
      </c>
      <c r="C7" s="21" t="n">
        <f aca="false">Historicals!C32</f>
        <v>24573</v>
      </c>
      <c r="D7" s="21" t="n">
        <f aca="false">Historicals!D32</f>
        <v>15127</v>
      </c>
      <c r="E7" s="21" t="n">
        <f aca="false">Historicals!E32</f>
        <v>20892</v>
      </c>
      <c r="F7" s="21" t="n">
        <f aca="false">Historicals!F32</f>
        <v>28931</v>
      </c>
      <c r="G7" s="21" t="n">
        <f aca="false">Historicals!G32</f>
        <v>23462</v>
      </c>
      <c r="H7" s="21" t="n">
        <f aca="false">Historicals!H32</f>
        <v>15847</v>
      </c>
      <c r="I7" s="21" t="n">
        <f aca="false">Historicals!I32</f>
        <v>23803</v>
      </c>
      <c r="J7" s="21" t="n">
        <f aca="false">Historicals!J32</f>
        <v>29751</v>
      </c>
      <c r="R7" s="21" t="n">
        <f aca="false">SUM(E7:H7)</f>
        <v>89132</v>
      </c>
      <c r="S7" s="50"/>
      <c r="T7" s="50"/>
      <c r="U7" s="50"/>
      <c r="V7" s="50"/>
    </row>
    <row r="8" customFormat="false" ht="15" hidden="false" customHeight="false" outlineLevel="0" collapsed="false">
      <c r="A8" s="4" t="s">
        <v>390</v>
      </c>
      <c r="B8" s="13" t="s">
        <v>73</v>
      </c>
      <c r="G8" s="30" t="n">
        <f aca="false">G6/C6-1</f>
        <v>-0.0603329093623846</v>
      </c>
      <c r="H8" s="30" t="n">
        <f aca="false">H6/D6-1</f>
        <v>-0.0145362431800468</v>
      </c>
      <c r="I8" s="30" t="n">
        <f aca="false">I6/E6-1</f>
        <v>0.0805224121251209</v>
      </c>
      <c r="J8" s="30" t="n">
        <f aca="false">J6/F6-1</f>
        <v>0.00504094286931411</v>
      </c>
      <c r="K8" s="51" t="n">
        <f aca="false">K6/G6-1</f>
        <v>0.0800000000000001</v>
      </c>
      <c r="L8" s="51" t="n">
        <f aca="false">L6/H6-1</f>
        <v>0.0800000000000001</v>
      </c>
      <c r="M8" s="51" t="n">
        <f aca="false">M6/I6-1</f>
        <v>0.04</v>
      </c>
      <c r="N8" s="51" t="n">
        <f aca="false">N6/J6-1</f>
        <v>0.04</v>
      </c>
      <c r="O8" s="51" t="n">
        <f aca="false">O6/K6-1</f>
        <v>0.04</v>
      </c>
      <c r="P8" s="51" t="n">
        <f aca="false">P6/L6-1</f>
        <v>0.04</v>
      </c>
      <c r="S8" s="51" t="n">
        <f aca="false">S6/R6-1</f>
        <v>0.0562242426528841</v>
      </c>
      <c r="T8" s="51" t="n">
        <f aca="false">T6/S6-1</f>
        <v>0.04</v>
      </c>
      <c r="U8" s="51" t="n">
        <f aca="false">U6/T6-1</f>
        <v>0.03</v>
      </c>
      <c r="V8" s="51" t="n">
        <f aca="false">V6/U6-1</f>
        <v>0.02</v>
      </c>
    </row>
    <row r="9" customFormat="false" ht="15" hidden="false" customHeight="false" outlineLevel="0" collapsed="false">
      <c r="A9" s="3" t="s">
        <v>391</v>
      </c>
      <c r="B9" s="13" t="s">
        <v>63</v>
      </c>
      <c r="C9" s="52" t="n">
        <f aca="false">Historicals!C27</f>
        <v>27520</v>
      </c>
      <c r="D9" s="52" t="n">
        <f aca="false">Historicals!D27</f>
        <v>14010</v>
      </c>
      <c r="E9" s="52" t="n">
        <f aca="false">Historicals!E27</f>
        <v>38601</v>
      </c>
      <c r="F9" s="52" t="n">
        <f aca="false">Historicals!F27</f>
        <v>35837</v>
      </c>
      <c r="G9" s="52" t="n">
        <f aca="false">Historicals!G27</f>
        <v>36524</v>
      </c>
      <c r="H9" s="52" t="n">
        <f aca="false">Historicals!H27</f>
        <v>13515</v>
      </c>
      <c r="I9" s="52" t="n">
        <f aca="false">Historicals!I27</f>
        <v>37295</v>
      </c>
      <c r="J9" s="52" t="n">
        <f aca="false">Historicals!J27</f>
        <v>39209</v>
      </c>
      <c r="K9" s="53" t="n">
        <f aca="false">(Inputs!$F$70-I9-J9)*Inputs!$E$38</f>
        <v>37497.6</v>
      </c>
      <c r="L9" s="53" t="n">
        <f aca="false">Inputs!$F$70-I9-J9-K9</f>
        <v>24998.4</v>
      </c>
      <c r="M9" s="53" t="n">
        <f aca="false">$T9*Inputs!$E$39</f>
        <v>41579.40364032</v>
      </c>
      <c r="N9" s="53" t="n">
        <f aca="false">$T9*Inputs!$E$40</f>
        <v>43064.38234176</v>
      </c>
      <c r="O9" s="53" t="n">
        <f aca="false">$T9*Inputs!$E$41</f>
        <v>38609.44623744</v>
      </c>
      <c r="P9" s="53" t="n">
        <f aca="false">$T9*Inputs!$E$42</f>
        <v>25244.63792448</v>
      </c>
      <c r="R9" s="52" t="n">
        <f aca="false">SUM(E9:H9)</f>
        <v>124477</v>
      </c>
      <c r="S9" s="53" t="n">
        <f aca="false">SUM(I9:L9)</f>
        <v>139000</v>
      </c>
      <c r="T9" s="53" t="n">
        <f aca="false">T6*(1+Inputs!$F$71)</f>
        <v>148497.870144</v>
      </c>
      <c r="U9" s="53" t="n">
        <f aca="false">U6*(1+Inputs!$F$72)</f>
        <v>151453.26893216</v>
      </c>
      <c r="V9" s="53" t="n">
        <f aca="false">V6*(1+Inputs!$F$73)</f>
        <v>152952.80624832</v>
      </c>
    </row>
    <row r="10" customFormat="false" ht="15" hidden="false" customHeight="false" outlineLevel="0" collapsed="false">
      <c r="A10" s="4" t="s">
        <v>392</v>
      </c>
      <c r="B10" s="13" t="s">
        <v>73</v>
      </c>
      <c r="G10" s="30" t="n">
        <f aca="false">G9/C9-1</f>
        <v>0.327180232558139</v>
      </c>
      <c r="H10" s="30" t="n">
        <f aca="false">H9/D9-1</f>
        <v>-0.0353319057815846</v>
      </c>
      <c r="I10" s="30" t="n">
        <f aca="false">I9/E9-1</f>
        <v>-0.0338333203803011</v>
      </c>
      <c r="J10" s="30" t="n">
        <f aca="false">J9/F9-1</f>
        <v>0.0940926974914196</v>
      </c>
      <c r="K10" s="51" t="n">
        <f aca="false">K9/G9-1</f>
        <v>0.0266564450772095</v>
      </c>
      <c r="L10" s="51" t="n">
        <f aca="false">L9/H9-1</f>
        <v>0.849678135405106</v>
      </c>
      <c r="M10" s="51" t="n">
        <f aca="false">M9/I9-1</f>
        <v>0.114878767671806</v>
      </c>
      <c r="N10" s="51" t="n">
        <f aca="false">N9/J9-1</f>
        <v>0.0983290148119054</v>
      </c>
      <c r="O10" s="51" t="n">
        <f aca="false">O9/K9-1</f>
        <v>0.029651130670763</v>
      </c>
      <c r="P10" s="51" t="n">
        <f aca="false">P9/L9-1</f>
        <v>0.00985014738863277</v>
      </c>
      <c r="S10" s="51" t="n">
        <f aca="false">S9/R9-1</f>
        <v>0.116672156301967</v>
      </c>
      <c r="T10" s="51" t="n">
        <f aca="false">T9/S9-1</f>
        <v>0.0683300010359713</v>
      </c>
      <c r="U10" s="51" t="n">
        <f aca="false">U9/T9-1</f>
        <v>0.0199019607843138</v>
      </c>
      <c r="V10" s="51" t="n">
        <f aca="false">V9/U9-1</f>
        <v>0.00990099009900991</v>
      </c>
    </row>
    <row r="11" customFormat="false" ht="15" hidden="false" customHeight="false" outlineLevel="0" collapsed="false">
      <c r="A11" s="4" t="s">
        <v>393</v>
      </c>
      <c r="B11" s="13" t="s">
        <v>63</v>
      </c>
      <c r="C11" s="21" t="n">
        <f aca="false">C9-C6</f>
        <v>-8646</v>
      </c>
      <c r="D11" s="21" t="n">
        <f aca="false">D9-D6</f>
        <v>-11650</v>
      </c>
      <c r="E11" s="21" t="n">
        <f aca="false">E9-E6</f>
        <v>7591</v>
      </c>
      <c r="F11" s="21" t="n">
        <f aca="false">F9-F6</f>
        <v>-6417</v>
      </c>
      <c r="G11" s="21" t="n">
        <f aca="false">G9-G6</f>
        <v>2540</v>
      </c>
      <c r="H11" s="21" t="n">
        <f aca="false">H9-H6</f>
        <v>-11772</v>
      </c>
      <c r="I11" s="21" t="n">
        <f aca="false">I9-I6</f>
        <v>3788</v>
      </c>
      <c r="J11" s="21" t="n">
        <f aca="false">J9-J6</f>
        <v>-3258</v>
      </c>
      <c r="K11" s="49" t="n">
        <f aca="false">K9-K6</f>
        <v>794.879999999997</v>
      </c>
      <c r="L11" s="49" t="n">
        <f aca="false">L9-L6</f>
        <v>-2311.56</v>
      </c>
      <c r="M11" s="49" t="n">
        <f aca="false">M9-M6</f>
        <v>6732.12364032001</v>
      </c>
      <c r="N11" s="49" t="n">
        <f aca="false">N9-N6</f>
        <v>-1101.29765824</v>
      </c>
      <c r="O11" s="49" t="n">
        <f aca="false">O9-O6</f>
        <v>438.61743744</v>
      </c>
      <c r="P11" s="49" t="n">
        <f aca="false">P9-P6</f>
        <v>-3157.72047552</v>
      </c>
      <c r="R11" s="21" t="n">
        <f aca="false">R9-R6</f>
        <v>-8058</v>
      </c>
      <c r="S11" s="49" t="n">
        <f aca="false">S9-S6</f>
        <v>-986.679999999993</v>
      </c>
      <c r="T11" s="49" t="n">
        <f aca="false">T9-T6</f>
        <v>2911.72294400001</v>
      </c>
      <c r="U11" s="49" t="n">
        <f aca="false">U9-U6</f>
        <v>1499.53731616001</v>
      </c>
      <c r="V11" s="49" t="n">
        <f aca="false">V9-V6</f>
        <v>0</v>
      </c>
    </row>
    <row r="12" customFormat="false" ht="15" hidden="false" customHeight="false" outlineLevel="0" collapsed="false">
      <c r="A12" s="4" t="s">
        <v>394</v>
      </c>
      <c r="B12" s="13" t="s">
        <v>73</v>
      </c>
      <c r="G12" s="30" t="n">
        <f aca="false">Historicals!G36</f>
        <v>-0.13</v>
      </c>
      <c r="H12" s="30" t="n">
        <f aca="false">Historicals!H36</f>
        <v>-0.17</v>
      </c>
      <c r="I12" s="30" t="n">
        <f aca="false">Historicals!I36</f>
        <v>-0.22</v>
      </c>
      <c r="J12" s="30" t="n">
        <f aca="false">Historicals!J36</f>
        <v>-0.17</v>
      </c>
    </row>
    <row r="13" customFormat="false" ht="15" hidden="false" customHeight="false" outlineLevel="0" collapsed="false">
      <c r="A13" s="4" t="s">
        <v>395</v>
      </c>
      <c r="B13" s="13" t="s">
        <v>73</v>
      </c>
      <c r="C13" s="30" t="n">
        <f aca="false">Historicals!C30/Historicals!C27</f>
        <v>0.0643168604651163</v>
      </c>
      <c r="D13" s="30" t="n">
        <f aca="false">Historicals!D30/Historicals!D27</f>
        <v>0.107637401855817</v>
      </c>
      <c r="E13" s="30" t="n">
        <f aca="false">Historicals!E30/Historicals!E27</f>
        <v>0.0546099841973006</v>
      </c>
      <c r="F13" s="30" t="n">
        <f aca="false">Historicals!F30/Historicals!F27</f>
        <v>0.088958339146692</v>
      </c>
      <c r="G13" s="30" t="n">
        <f aca="false">Historicals!G30/Historicals!G27</f>
        <v>0.071952688643084</v>
      </c>
      <c r="H13" s="30" t="n">
        <f aca="false">Historicals!H30/Historicals!H27</f>
        <v>0.126822049574547</v>
      </c>
      <c r="I13" s="30" t="n">
        <f aca="false">Historicals!I30/Historicals!I27</f>
        <v>0.100040219868615</v>
      </c>
      <c r="J13" s="30" t="n">
        <f aca="false">Historicals!J30/Historicals!J27</f>
        <v>0.117753576984876</v>
      </c>
    </row>
    <row r="14" customFormat="false" ht="15" hidden="false" customHeight="false" outlineLevel="0" collapsed="false">
      <c r="A14" s="4" t="s">
        <v>396</v>
      </c>
      <c r="B14" s="13" t="s">
        <v>73</v>
      </c>
      <c r="C14" s="30" t="n">
        <f aca="false">Historicals!C28/Historicals!C27</f>
        <v>0.56297238372093</v>
      </c>
      <c r="D14" s="30" t="n">
        <f aca="false">Historicals!D28/Historicals!D27</f>
        <v>0.397073518915061</v>
      </c>
      <c r="E14" s="30" t="n">
        <f aca="false">Historicals!E28/Historicals!E27</f>
        <v>0.613403797829072</v>
      </c>
      <c r="F14" s="30" t="n">
        <f aca="false">Historicals!F28/Historicals!F27</f>
        <v>0.504506515612356</v>
      </c>
      <c r="G14" s="30" t="n">
        <f aca="false">Historicals!G28/Historicals!G27</f>
        <v>0.603301938451429</v>
      </c>
      <c r="H14" s="30" t="n">
        <f aca="false">Historicals!H28/Historicals!H27</f>
        <v>0.403921568627451</v>
      </c>
      <c r="I14" s="30" t="n">
        <f aca="false">Historicals!I28/Historicals!I27</f>
        <v>0.577021048397909</v>
      </c>
      <c r="J14" s="30" t="n">
        <f aca="false">Historicals!J28/Historicals!J27</f>
        <v>0.500930908719937</v>
      </c>
    </row>
    <row r="16" customFormat="false" ht="15" hidden="false" customHeight="false" outlineLevel="0" collapsed="false">
      <c r="A16" s="16" t="s">
        <v>397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R16" s="17"/>
      <c r="S16" s="17"/>
      <c r="T16" s="17"/>
      <c r="U16" s="17"/>
      <c r="V16" s="17"/>
    </row>
    <row r="17" customFormat="false" ht="15" hidden="false" customHeight="false" outlineLevel="0" collapsed="false">
      <c r="A17" s="4" t="s">
        <v>398</v>
      </c>
      <c r="B17" s="13" t="s">
        <v>39</v>
      </c>
      <c r="C17" s="35" t="n">
        <f aca="false">Historicals!C6/Historicals!C27</f>
        <v>22.3702034883721</v>
      </c>
      <c r="D17" s="35" t="n">
        <f aca="false">Historicals!D6/Historicals!D27</f>
        <v>16.5217701641685</v>
      </c>
      <c r="E17" s="35" t="n">
        <f aca="false">Historicals!E6/Historicals!E27</f>
        <v>22.379290691951</v>
      </c>
      <c r="F17" s="35" t="n">
        <f aca="false">Historicals!F6/Historicals!F27</f>
        <v>21.7108295895304</v>
      </c>
      <c r="G17" s="35" t="n">
        <f aca="false">Historicals!G6/Historicals!G27</f>
        <v>22.5020260650531</v>
      </c>
      <c r="H17" s="35" t="n">
        <f aca="false">Historicals!H6/Historicals!H27</f>
        <v>14.3456899741028</v>
      </c>
      <c r="I17" s="35" t="n">
        <f aca="false">Historicals!I6/Historicals!I27</f>
        <v>22.4237565357287</v>
      </c>
      <c r="J17" s="35" t="n">
        <f aca="false">Historicals!J6/Historicals!J27</f>
        <v>21.6291412685863</v>
      </c>
      <c r="K17" s="54" t="n">
        <f aca="false">Inputs!$E$60*(1+Inputs!$F$74)</f>
        <v>22.2366740301161</v>
      </c>
      <c r="L17" s="54" t="n">
        <f aca="false">Inputs!$E$60*(1+Inputs!$F$74)</f>
        <v>22.2366740301161</v>
      </c>
      <c r="M17" s="54" t="n">
        <f aca="false">$K17*(1+Inputs!$F$75)</f>
        <v>22.2366740301161</v>
      </c>
      <c r="N17" s="54" t="n">
        <f aca="false">$K17*(1+Inputs!$F$75)</f>
        <v>22.2366740301161</v>
      </c>
      <c r="O17" s="54" t="n">
        <f aca="false">$K17*(1+Inputs!$F$75)</f>
        <v>22.2366740301161</v>
      </c>
      <c r="P17" s="54" t="n">
        <f aca="false">$K17*(1+Inputs!$F$75)</f>
        <v>22.2366740301161</v>
      </c>
      <c r="R17" s="35" t="n">
        <f aca="false">R18/R9*1000</f>
        <v>21.3506109562409</v>
      </c>
      <c r="S17" s="54" t="n">
        <f aca="false">S18/S9*1000</f>
        <v>22.1154976991808</v>
      </c>
      <c r="T17" s="54" t="n">
        <f aca="false">T18/T9*1000</f>
        <v>22.2366740301161</v>
      </c>
      <c r="U17" s="54" t="n">
        <f aca="false">T17*(1+Inputs!$F$76)</f>
        <v>22.6814075107184</v>
      </c>
      <c r="V17" s="54" t="n">
        <f aca="false">U17*(1+Inputs!$F$77)</f>
        <v>23.1350356609328</v>
      </c>
    </row>
    <row r="18" customFormat="false" ht="15" hidden="false" customHeight="false" outlineLevel="0" collapsed="false">
      <c r="A18" s="4" t="s">
        <v>38</v>
      </c>
      <c r="B18" s="13" t="s">
        <v>135</v>
      </c>
      <c r="C18" s="31" t="n">
        <f aca="false">Historicals!C6/1000</f>
        <v>615.628</v>
      </c>
      <c r="D18" s="31" t="n">
        <f aca="false">Historicals!D6/1000</f>
        <v>231.47</v>
      </c>
      <c r="E18" s="31" t="n">
        <f aca="false">Historicals!E6/1000</f>
        <v>863.863</v>
      </c>
      <c r="F18" s="31" t="n">
        <f aca="false">Historicals!F6/1000</f>
        <v>778.051</v>
      </c>
      <c r="G18" s="31" t="n">
        <f aca="false">Historicals!G6/1000</f>
        <v>821.864</v>
      </c>
      <c r="H18" s="31" t="n">
        <f aca="false">Historicals!H6/1000</f>
        <v>193.882</v>
      </c>
      <c r="I18" s="31" t="n">
        <f aca="false">Historicals!I6/1000</f>
        <v>836.294</v>
      </c>
      <c r="J18" s="31" t="n">
        <f aca="false">Historicals!J6/1000</f>
        <v>848.057</v>
      </c>
      <c r="K18" s="55" t="n">
        <f aca="false">K9*K17/1000</f>
        <v>833.82190811168</v>
      </c>
      <c r="L18" s="55" t="n">
        <f aca="false">L9*L17/1000</f>
        <v>555.881272074454</v>
      </c>
      <c r="M18" s="55" t="n">
        <f aca="false">M9*M17/1000</f>
        <v>924.587645116418</v>
      </c>
      <c r="N18" s="55" t="n">
        <f aca="false">N9*N17/1000</f>
        <v>957.608632442004</v>
      </c>
      <c r="O18" s="55" t="n">
        <f aca="false">O9*O17/1000</f>
        <v>858.545670465245</v>
      </c>
      <c r="P18" s="55" t="n">
        <f aca="false">P9*P17/1000</f>
        <v>561.356784534968</v>
      </c>
      <c r="R18" s="31" t="n">
        <f aca="false">SUM(E18:H18)</f>
        <v>2657.66</v>
      </c>
      <c r="S18" s="55" t="n">
        <f aca="false">SUM(I18:L18)</f>
        <v>3074.05418018613</v>
      </c>
      <c r="T18" s="55" t="n">
        <f aca="false">SUM(M18:P18)</f>
        <v>3302.09873255863</v>
      </c>
      <c r="U18" s="55" t="n">
        <f aca="false">U9*U17/1000</f>
        <v>3435.17331148075</v>
      </c>
      <c r="V18" s="55" t="n">
        <f aca="false">V9*V17/1000</f>
        <v>3538.56862699462</v>
      </c>
    </row>
    <row r="19" customFormat="false" ht="15" hidden="false" customHeight="false" outlineLevel="0" collapsed="false">
      <c r="A19" s="4" t="s">
        <v>399</v>
      </c>
      <c r="B19" s="13" t="s">
        <v>135</v>
      </c>
      <c r="C19" s="31" t="n">
        <f aca="false">(Historicals!C7)/1000</f>
        <v>174.301</v>
      </c>
      <c r="D19" s="31" t="n">
        <f aca="false">(Historicals!D7)/1000</f>
        <v>117.605</v>
      </c>
      <c r="E19" s="31" t="n">
        <f aca="false">(Historicals!E7)/1000</f>
        <v>143.433</v>
      </c>
      <c r="F19" s="31" t="n">
        <f aca="false">(Historicals!F7)/1000</f>
        <v>186.874</v>
      </c>
      <c r="G19" s="31" t="n">
        <f aca="false">(Historicals!G7)/1000</f>
        <v>167.252</v>
      </c>
      <c r="H19" s="31" t="n">
        <f aca="false">(Historicals!H7)/1000</f>
        <v>116.513</v>
      </c>
      <c r="I19" s="31" t="n">
        <f aca="false">(Historicals!I7)/1000</f>
        <v>142.243</v>
      </c>
      <c r="J19" s="31" t="n">
        <f aca="false">(Historicals!J7)/1000</f>
        <v>176.95</v>
      </c>
      <c r="K19" s="55" t="n">
        <f aca="false">G19*(1+Inputs!$F$78)</f>
        <v>172.26956</v>
      </c>
      <c r="L19" s="55" t="n">
        <f aca="false">H19*(1+Inputs!$F$78)</f>
        <v>120.00839</v>
      </c>
      <c r="M19" s="55" t="n">
        <f aca="false">I19*(1+Inputs!$F$78)</f>
        <v>146.51029</v>
      </c>
      <c r="N19" s="55" t="n">
        <f aca="false">J19*(1+Inputs!$F$78)</f>
        <v>182.2585</v>
      </c>
      <c r="O19" s="55" t="n">
        <f aca="false">K19*(1+Inputs!$F$78)</f>
        <v>177.4376468</v>
      </c>
      <c r="P19" s="55" t="n">
        <f aca="false">L19*(1+Inputs!$F$78)</f>
        <v>123.6086417</v>
      </c>
      <c r="R19" s="31" t="n">
        <f aca="false">SUM(E19:H19)</f>
        <v>614.072</v>
      </c>
      <c r="S19" s="55" t="n">
        <f aca="false">SUM(I19:L19)</f>
        <v>611.47095</v>
      </c>
      <c r="T19" s="55" t="n">
        <f aca="false">SUM(M19:P19)</f>
        <v>629.8150785</v>
      </c>
      <c r="U19" s="55" t="n">
        <f aca="false">T19*(1+Inputs!$F$78)</f>
        <v>648.709530855</v>
      </c>
      <c r="V19" s="55" t="n">
        <f aca="false">U19*(1+Inputs!$F$78)</f>
        <v>668.17081678065</v>
      </c>
    </row>
    <row r="20" customFormat="false" ht="15" hidden="false" customHeight="false" outlineLevel="0" collapsed="false">
      <c r="A20" s="4" t="s">
        <v>400</v>
      </c>
      <c r="B20" s="13" t="s">
        <v>135</v>
      </c>
      <c r="C20" s="31" t="n">
        <f aca="false">(Historicals!C8+Historicals!C9+Historicals!C10)/1000</f>
        <v>86.476</v>
      </c>
      <c r="D20" s="31" t="n">
        <f aca="false">(Historicals!D8+Historicals!D9+Historicals!D10)/1000</f>
        <v>71.414</v>
      </c>
      <c r="E20" s="31" t="n">
        <f aca="false">(Historicals!E8+Historicals!E9+Historicals!E10)/1000</f>
        <v>74.209</v>
      </c>
      <c r="F20" s="31" t="n">
        <f aca="false">(Historicals!F8+Historicals!F9+Historicals!F10)/1000</f>
        <v>78.724</v>
      </c>
      <c r="G20" s="31" t="n">
        <f aca="false">(Historicals!G8+Historicals!G9+Historicals!G10)/1000</f>
        <v>84.843</v>
      </c>
      <c r="H20" s="31" t="n">
        <f aca="false">(Historicals!H8+Historicals!H9+Historicals!H10)/1000</f>
        <v>68.8</v>
      </c>
      <c r="I20" s="31" t="n">
        <f aca="false">(Historicals!I8+Historicals!I9+Historicals!I10)/1000</f>
        <v>76.934</v>
      </c>
      <c r="J20" s="31" t="n">
        <f aca="false">(Historicals!J8+Historicals!J9+Historicals!J10)/1000</f>
        <v>79.273</v>
      </c>
      <c r="K20" s="55" t="n">
        <f aca="false">G20*(1+Inputs!$F$78)</f>
        <v>87.38829</v>
      </c>
      <c r="L20" s="55" t="n">
        <f aca="false">H20*(1+Inputs!$F$78)</f>
        <v>70.864</v>
      </c>
      <c r="M20" s="55" t="n">
        <f aca="false">I20*(1+Inputs!$F$78)</f>
        <v>79.24202</v>
      </c>
      <c r="N20" s="55" t="n">
        <f aca="false">J20*(1+Inputs!$F$78)</f>
        <v>81.65119</v>
      </c>
      <c r="O20" s="55" t="n">
        <f aca="false">K20*(1+Inputs!$F$78)</f>
        <v>90.0099387</v>
      </c>
      <c r="P20" s="55" t="n">
        <f aca="false">L20*(1+Inputs!$F$78)</f>
        <v>72.98992</v>
      </c>
      <c r="R20" s="31" t="n">
        <f aca="false">SUM(E20:H20)</f>
        <v>306.576</v>
      </c>
      <c r="S20" s="55" t="n">
        <f aca="false">SUM(I20:L20)</f>
        <v>314.45929</v>
      </c>
      <c r="T20" s="55" t="n">
        <f aca="false">SUM(M20:P20)</f>
        <v>323.8930687</v>
      </c>
      <c r="U20" s="55" t="n">
        <f aca="false">T20*(1+Inputs!$F$78)</f>
        <v>333.609860761</v>
      </c>
      <c r="V20" s="55" t="n">
        <f aca="false">U20*(1+Inputs!$F$78)</f>
        <v>343.61815658383</v>
      </c>
    </row>
    <row r="21" customFormat="false" ht="15" hidden="false" customHeight="false" outlineLevel="0" collapsed="false">
      <c r="A21" s="3" t="s">
        <v>401</v>
      </c>
      <c r="B21" s="13" t="s">
        <v>135</v>
      </c>
      <c r="C21" s="42" t="n">
        <f aca="false">C18+C19+C20</f>
        <v>876.405</v>
      </c>
      <c r="D21" s="42" t="n">
        <f aca="false">D18+D19+D20</f>
        <v>420.489</v>
      </c>
      <c r="E21" s="42" t="n">
        <f aca="false">E18+E19+E20</f>
        <v>1081.505</v>
      </c>
      <c r="F21" s="42" t="n">
        <f aca="false">F18+F19+F20</f>
        <v>1043.649</v>
      </c>
      <c r="G21" s="42" t="n">
        <f aca="false">G18+G19+G20</f>
        <v>1073.959</v>
      </c>
      <c r="H21" s="42" t="n">
        <f aca="false">H18+H19+H20</f>
        <v>379.195</v>
      </c>
      <c r="I21" s="42" t="n">
        <f aca="false">I18+I19+I20</f>
        <v>1055.471</v>
      </c>
      <c r="J21" s="42" t="n">
        <f aca="false">J18+J19+J20</f>
        <v>1104.28</v>
      </c>
      <c r="K21" s="56" t="n">
        <f aca="false">K18+K19+K20</f>
        <v>1093.47975811168</v>
      </c>
      <c r="L21" s="56" t="n">
        <f aca="false">L18+L19+L20</f>
        <v>746.753662074454</v>
      </c>
      <c r="M21" s="56" t="n">
        <f aca="false">M18+M19+M20</f>
        <v>1150.33995511642</v>
      </c>
      <c r="N21" s="56" t="n">
        <f aca="false">N18+N19+N20</f>
        <v>1221.518322442</v>
      </c>
      <c r="O21" s="56" t="n">
        <f aca="false">O18+O19+O20</f>
        <v>1125.99325596524</v>
      </c>
      <c r="P21" s="56" t="n">
        <f aca="false">P18+P19+P20</f>
        <v>757.955346234968</v>
      </c>
      <c r="R21" s="42" t="n">
        <f aca="false">R18+R19+R20</f>
        <v>3578.308</v>
      </c>
      <c r="S21" s="56" t="n">
        <f aca="false">S18+S19+S20</f>
        <v>3999.98442018613</v>
      </c>
      <c r="T21" s="56" t="n">
        <f aca="false">T18+T19+T20</f>
        <v>4255.80687975863</v>
      </c>
      <c r="U21" s="56" t="n">
        <f aca="false">U18+U19+U20</f>
        <v>4417.49270309675</v>
      </c>
      <c r="V21" s="56" t="n">
        <f aca="false">V18+V19+V20</f>
        <v>4550.3576003591</v>
      </c>
    </row>
    <row r="22" customFormat="false" ht="15" hidden="false" customHeight="false" outlineLevel="0" collapsed="false">
      <c r="A22" s="4" t="s">
        <v>402</v>
      </c>
      <c r="B22" s="13" t="s">
        <v>73</v>
      </c>
      <c r="G22" s="30" t="n">
        <f aca="false">G21/C21-1</f>
        <v>0.225414049440613</v>
      </c>
      <c r="H22" s="30" t="n">
        <f aca="false">H21/D21-1</f>
        <v>-0.0982047092789585</v>
      </c>
      <c r="I22" s="30" t="n">
        <f aca="false">I21/E21-1</f>
        <v>-0.0240720107627798</v>
      </c>
      <c r="J22" s="30" t="n">
        <f aca="false">J21/F21-1</f>
        <v>0.0580952025058232</v>
      </c>
      <c r="K22" s="51" t="n">
        <f aca="false">K21/G21-1</f>
        <v>0.0181764463184166</v>
      </c>
      <c r="L22" s="51" t="n">
        <f aca="false">L21/H21-1</f>
        <v>0.969313050210192</v>
      </c>
      <c r="M22" s="51" t="n">
        <f aca="false">M21/I21-1</f>
        <v>0.0898830523211132</v>
      </c>
      <c r="N22" s="51" t="n">
        <f aca="false">N21/J21-1</f>
        <v>0.106167206181407</v>
      </c>
      <c r="O22" s="51" t="n">
        <f aca="false">O21/K21-1</f>
        <v>0.029733973228468</v>
      </c>
      <c r="P22" s="51" t="n">
        <f aca="false">P21/L21-1</f>
        <v>0.0150005078373452</v>
      </c>
      <c r="S22" s="51" t="n">
        <f aca="false">S21/R21-1</f>
        <v>0.117842404898106</v>
      </c>
      <c r="T22" s="51" t="n">
        <f aca="false">T21/S21-1</f>
        <v>0.0639558639982394</v>
      </c>
      <c r="U22" s="51" t="n">
        <f aca="false">U21/T21-1</f>
        <v>0.0379918139864661</v>
      </c>
      <c r="V22" s="51" t="n">
        <f aca="false">V21/U21-1</f>
        <v>0.0300769930348079</v>
      </c>
    </row>
    <row r="23" customFormat="false" ht="15" hidden="false" customHeight="false" outlineLevel="0" collapsed="false">
      <c r="A23" s="4" t="s">
        <v>44</v>
      </c>
      <c r="B23" s="13" t="s">
        <v>135</v>
      </c>
      <c r="C23" s="31" t="n">
        <f aca="false">Historicals!C11/1000</f>
        <v>263.813</v>
      </c>
      <c r="D23" s="31" t="n">
        <f aca="false">Historicals!D11/1000</f>
        <v>-3.17</v>
      </c>
      <c r="E23" s="31" t="n">
        <f aca="false">Historicals!E11/1000</f>
        <v>315.244</v>
      </c>
      <c r="F23" s="31" t="n">
        <f aca="false">Historicals!F11/1000</f>
        <v>298.705</v>
      </c>
      <c r="G23" s="31" t="n">
        <f aca="false">Historicals!G11/1000</f>
        <v>283.11</v>
      </c>
      <c r="H23" s="31" t="n">
        <f aca="false">Historicals!H11/1000</f>
        <v>-30.467</v>
      </c>
      <c r="I23" s="31" t="n">
        <f aca="false">Historicals!I11/1000</f>
        <v>266.989</v>
      </c>
      <c r="J23" s="31" t="n">
        <f aca="false">Historicals!J11/1000</f>
        <v>304.126</v>
      </c>
      <c r="K23" s="55" t="n">
        <f aca="false">(Inputs!$E$57+Inputs!$F$79)*K21-Inputs!$E$58*(1+Inputs!$E$43)^0</f>
        <v>309.186774964508</v>
      </c>
      <c r="L23" s="55" t="n">
        <f aca="false">(Inputs!$E$57+Inputs!$F$79)*L21-Inputs!$E$58*(1+Inputs!$E$43)^0</f>
        <v>145.383506724648</v>
      </c>
      <c r="M23" s="55" t="n">
        <f aca="false">(Inputs!$E$57+Inputs!$F$80)*M21-Inputs!$E$58*(1+Inputs!$E$43)^1</f>
        <v>337.652765640281</v>
      </c>
      <c r="N23" s="55" t="n">
        <f aca="false">(Inputs!$E$57+Inputs!$F$80)*N21-Inputs!$E$58*(1+Inputs!$E$43)^1</f>
        <v>371.635342428412</v>
      </c>
      <c r="O23" s="55" t="n">
        <f aca="false">(Inputs!$E$57+Inputs!$F$80)*O21-Inputs!$E$58*(1+Inputs!$E$43)^1</f>
        <v>326.02895907476</v>
      </c>
      <c r="P23" s="55" t="n">
        <f aca="false">(Inputs!$E$57+Inputs!$F$80)*P21-Inputs!$E$58*(1+Inputs!$E$43)^1</f>
        <v>150.317194415381</v>
      </c>
      <c r="R23" s="31" t="n">
        <f aca="false">SUM(E23:H23)</f>
        <v>866.592</v>
      </c>
      <c r="S23" s="55" t="n">
        <f aca="false">SUM(I23:L23)</f>
        <v>1025.68528168916</v>
      </c>
      <c r="T23" s="55" t="n">
        <f aca="false">SUM(M23:P23)</f>
        <v>1185.63426155883</v>
      </c>
      <c r="U23" s="55" t="n">
        <f aca="false">(Inputs!$E$57+Inputs!$F$80)*U21-4*Inputs!$E$58*(1+Inputs!$E$43)^2</f>
        <v>1245.90349231318</v>
      </c>
      <c r="V23" s="55" t="n">
        <f aca="false">(Inputs!$E$57+Inputs!$F$80)*V21-4*Inputs!$E$58*(1+Inputs!$E$43)^3</f>
        <v>1292.07430973745</v>
      </c>
    </row>
    <row r="24" customFormat="false" ht="15" hidden="false" customHeight="false" outlineLevel="0" collapsed="false">
      <c r="A24" s="4" t="s">
        <v>403</v>
      </c>
      <c r="B24" s="13" t="s">
        <v>73</v>
      </c>
      <c r="C24" s="30" t="n">
        <f aca="false">C23/C21</f>
        <v>0.301017223772114</v>
      </c>
      <c r="D24" s="30" t="n">
        <f aca="false">D23/D21</f>
        <v>-0.0075388416819465</v>
      </c>
      <c r="E24" s="30" t="n">
        <f aca="false">E23/E21</f>
        <v>0.291486400895049</v>
      </c>
      <c r="F24" s="30" t="n">
        <f aca="false">F23/F21</f>
        <v>0.286212126874074</v>
      </c>
      <c r="G24" s="30" t="n">
        <f aca="false">G23/G21</f>
        <v>0.263613415409713</v>
      </c>
      <c r="H24" s="30" t="n">
        <f aca="false">H23/H21</f>
        <v>-0.0803465235564815</v>
      </c>
      <c r="I24" s="30" t="n">
        <f aca="false">I23/I21</f>
        <v>0.252957210572342</v>
      </c>
      <c r="J24" s="30" t="n">
        <f aca="false">J23/J21</f>
        <v>0.275406599775419</v>
      </c>
      <c r="K24" s="51" t="n">
        <f aca="false">K23/K21</f>
        <v>0.282754913998993</v>
      </c>
      <c r="L24" s="51" t="n">
        <f aca="false">L23/L21</f>
        <v>0.194687370291265</v>
      </c>
      <c r="M24" s="51" t="n">
        <f aca="false">M23/M21</f>
        <v>0.293524330906258</v>
      </c>
      <c r="N24" s="51" t="n">
        <f aca="false">N23/N21</f>
        <v>0.304240497748291</v>
      </c>
      <c r="O24" s="51" t="n">
        <f aca="false">O23/O21</f>
        <v>0.289547879037051</v>
      </c>
      <c r="P24" s="51" t="n">
        <f aca="false">P23/P21</f>
        <v>0.198319327335126</v>
      </c>
      <c r="R24" s="30" t="n">
        <f aca="false">R23/R21</f>
        <v>0.242179264613331</v>
      </c>
      <c r="S24" s="51" t="n">
        <f aca="false">S23/S21</f>
        <v>0.25642231917529</v>
      </c>
      <c r="T24" s="51" t="n">
        <f aca="false">T23/T21</f>
        <v>0.278592120144812</v>
      </c>
      <c r="U24" s="51" t="n">
        <f aca="false">U23/U21</f>
        <v>0.282038607882652</v>
      </c>
      <c r="V24" s="51" t="n">
        <f aca="false">V23/V21</f>
        <v>0.283950059141611</v>
      </c>
    </row>
    <row r="25" customFormat="false" ht="15" hidden="false" customHeight="false" outlineLevel="0" collapsed="false">
      <c r="A25" s="4" t="s">
        <v>45</v>
      </c>
      <c r="B25" s="13" t="s">
        <v>135</v>
      </c>
      <c r="C25" s="31" t="n">
        <f aca="false">Historicals!C12/1000</f>
        <v>208.676</v>
      </c>
      <c r="D25" s="31" t="n">
        <f aca="false">Historicals!D12/1000</f>
        <v>210.472</v>
      </c>
      <c r="E25" s="31" t="n">
        <f aca="false">Historicals!E12/1000</f>
        <v>198.972</v>
      </c>
      <c r="F25" s="31" t="n">
        <f aca="false">Historicals!F12/1000</f>
        <v>237.389</v>
      </c>
      <c r="G25" s="31" t="n">
        <f aca="false">Historicals!G12/1000</f>
        <v>228.991</v>
      </c>
      <c r="H25" s="31" t="n">
        <f aca="false">Historicals!H12/1000</f>
        <v>229.97</v>
      </c>
      <c r="I25" s="31" t="n">
        <f aca="false">Historicals!I12/1000</f>
        <v>248.064</v>
      </c>
      <c r="J25" s="31" t="n">
        <f aca="false">Historicals!J12/1000</f>
        <v>231.788</v>
      </c>
      <c r="K25" s="55" t="n">
        <f aca="false">G25*(1+Inputs!$F$81)</f>
        <v>228.991</v>
      </c>
      <c r="L25" s="55" t="n">
        <f aca="false">H25*(1+Inputs!$F$81)</f>
        <v>229.97</v>
      </c>
      <c r="M25" s="55" t="n">
        <f aca="false">I25*(1+Inputs!$F$81)</f>
        <v>248.064</v>
      </c>
      <c r="N25" s="55" t="n">
        <f aca="false">J25*(1+Inputs!$F$81)</f>
        <v>231.788</v>
      </c>
      <c r="O25" s="55" t="n">
        <f aca="false">K25*(1+Inputs!$F$81)</f>
        <v>228.991</v>
      </c>
      <c r="P25" s="55" t="n">
        <f aca="false">L25*(1+Inputs!$F$81)</f>
        <v>229.97</v>
      </c>
      <c r="R25" s="31" t="n">
        <f aca="false">SUM(E25:H25)</f>
        <v>895.322</v>
      </c>
      <c r="S25" s="55" t="n">
        <f aca="false">SUM(I25:L25)</f>
        <v>938.813</v>
      </c>
      <c r="T25" s="55" t="n">
        <f aca="false">SUM(M25:P25)</f>
        <v>938.813</v>
      </c>
      <c r="U25" s="55" t="n">
        <f aca="false">T25*(1+Inputs!$F$81)</f>
        <v>938.813</v>
      </c>
      <c r="V25" s="55" t="n">
        <f aca="false">U25*(1+Inputs!$F$81)</f>
        <v>938.813</v>
      </c>
    </row>
    <row r="26" customFormat="false" ht="15" hidden="false" customHeight="false" outlineLevel="0" collapsed="false">
      <c r="A26" s="3" t="s">
        <v>404</v>
      </c>
      <c r="B26" s="13" t="s">
        <v>135</v>
      </c>
      <c r="C26" s="42" t="n">
        <f aca="false">C23-C25</f>
        <v>55.137</v>
      </c>
      <c r="D26" s="42" t="n">
        <f aca="false">D23-D25</f>
        <v>-213.642</v>
      </c>
      <c r="E26" s="42" t="n">
        <f aca="false">E23-E25</f>
        <v>116.272</v>
      </c>
      <c r="F26" s="42" t="n">
        <f aca="false">F23-F25</f>
        <v>61.316</v>
      </c>
      <c r="G26" s="42" t="n">
        <f aca="false">G23-G25</f>
        <v>54.119</v>
      </c>
      <c r="H26" s="42" t="n">
        <f aca="false">H23-H25</f>
        <v>-260.437</v>
      </c>
      <c r="I26" s="42" t="n">
        <f aca="false">I23-I25</f>
        <v>18.925</v>
      </c>
      <c r="J26" s="42" t="n">
        <f aca="false">J23-J25</f>
        <v>72.338</v>
      </c>
      <c r="K26" s="56" t="n">
        <f aca="false">K23-K25</f>
        <v>80.1957749645075</v>
      </c>
      <c r="L26" s="56" t="n">
        <f aca="false">L23-L25</f>
        <v>-84.5864932753524</v>
      </c>
      <c r="M26" s="56" t="n">
        <f aca="false">M23-M25</f>
        <v>89.5887656402814</v>
      </c>
      <c r="N26" s="56" t="n">
        <f aca="false">N23-N25</f>
        <v>139.847342428412</v>
      </c>
      <c r="O26" s="56" t="n">
        <f aca="false">O23-O25</f>
        <v>97.03795907476</v>
      </c>
      <c r="P26" s="56" t="n">
        <f aca="false">P23-P25</f>
        <v>-79.6528055846186</v>
      </c>
      <c r="R26" s="42" t="n">
        <f aca="false">R23-R25</f>
        <v>-28.7300000000001</v>
      </c>
      <c r="S26" s="56" t="n">
        <f aca="false">S23-S25</f>
        <v>86.872281689155</v>
      </c>
      <c r="T26" s="56" t="n">
        <f aca="false">T23-T25</f>
        <v>246.821261558835</v>
      </c>
      <c r="U26" s="56" t="n">
        <f aca="false">U23-U25</f>
        <v>307.090492313179</v>
      </c>
      <c r="V26" s="56" t="n">
        <f aca="false">V23-V25</f>
        <v>353.261309737448</v>
      </c>
    </row>
    <row r="27" customFormat="false" ht="15" hidden="false" customHeight="false" outlineLevel="0" collapsed="false">
      <c r="A27" s="4" t="s">
        <v>405</v>
      </c>
      <c r="B27" s="13" t="s">
        <v>73</v>
      </c>
      <c r="C27" s="30" t="n">
        <f aca="false">C26/C21</f>
        <v>0.0629126944734455</v>
      </c>
      <c r="D27" s="30" t="n">
        <f aca="false">D26/D21</f>
        <v>-0.50807987842726</v>
      </c>
      <c r="E27" s="30" t="n">
        <f aca="false">E26/E21</f>
        <v>0.107509442859719</v>
      </c>
      <c r="F27" s="30" t="n">
        <f aca="false">F26/F21</f>
        <v>0.0587515534437344</v>
      </c>
      <c r="G27" s="30" t="n">
        <f aca="false">G26/G21</f>
        <v>0.0503920540728277</v>
      </c>
      <c r="H27" s="30" t="n">
        <f aca="false">H26/H21</f>
        <v>-0.686815490710584</v>
      </c>
      <c r="I27" s="30" t="n">
        <f aca="false">I26/I21</f>
        <v>0.0179303836865248</v>
      </c>
      <c r="J27" s="30" t="n">
        <f aca="false">J26/J21</f>
        <v>0.0655069366465027</v>
      </c>
      <c r="K27" s="51" t="n">
        <f aca="false">K26/K21</f>
        <v>0.073339972111598</v>
      </c>
      <c r="L27" s="51" t="n">
        <f aca="false">L26/L21</f>
        <v>-0.113272284517995</v>
      </c>
      <c r="M27" s="51" t="n">
        <f aca="false">M26/M21</f>
        <v>0.0778802520435925</v>
      </c>
      <c r="N27" s="51" t="n">
        <f aca="false">N26/N21</f>
        <v>0.11448648772524</v>
      </c>
      <c r="O27" s="51" t="n">
        <f aca="false">O26/O21</f>
        <v>0.0861798759101584</v>
      </c>
      <c r="P27" s="51" t="n">
        <f aca="false">P26/P21</f>
        <v>-0.105089047765521</v>
      </c>
      <c r="R27" s="30" t="n">
        <f aca="false">R26/R21</f>
        <v>-0.00802893434550635</v>
      </c>
      <c r="S27" s="51" t="n">
        <f aca="false">S26/S21</f>
        <v>0.0217181550134919</v>
      </c>
      <c r="T27" s="51" t="n">
        <f aca="false">T26/T21</f>
        <v>0.0579963491136687</v>
      </c>
      <c r="U27" s="51" t="n">
        <f aca="false">U26/U21</f>
        <v>0.0695169212385801</v>
      </c>
      <c r="V27" s="51" t="n">
        <f aca="false">V26/V21</f>
        <v>0.0776337467871908</v>
      </c>
    </row>
    <row r="28" customFormat="false" ht="15" hidden="false" customHeight="false" outlineLevel="0" collapsed="false">
      <c r="A28" s="4" t="s">
        <v>46</v>
      </c>
      <c r="B28" s="13" t="s">
        <v>135</v>
      </c>
      <c r="C28" s="31" t="n">
        <f aca="false">Historicals!C13/1000</f>
        <v>4.808</v>
      </c>
      <c r="D28" s="31" t="n">
        <f aca="false">Historicals!D13/1000</f>
        <v>10.4</v>
      </c>
      <c r="E28" s="31" t="n">
        <f aca="false">Historicals!E13/1000</f>
        <v>2.743</v>
      </c>
      <c r="F28" s="31" t="n">
        <f aca="false">Historicals!F13/1000</f>
        <v>6.011</v>
      </c>
      <c r="G28" s="31" t="n">
        <f aca="false">Historicals!G13/1000</f>
        <v>5.563</v>
      </c>
      <c r="H28" s="31" t="n">
        <f aca="false">Historicals!H13/1000</f>
        <v>11.354</v>
      </c>
      <c r="I28" s="31" t="n">
        <f aca="false">Historicals!I13/1000</f>
        <v>5.116</v>
      </c>
      <c r="J28" s="31" t="n">
        <f aca="false">Historicals!J13/1000</f>
        <v>9.114</v>
      </c>
      <c r="K28" s="55" t="n">
        <f aca="false">G28*(1+Inputs!$F$86)</f>
        <v>7.7882</v>
      </c>
      <c r="L28" s="55" t="n">
        <f aca="false">H28*(1+Inputs!$F$86)</f>
        <v>15.8956</v>
      </c>
      <c r="M28" s="55" t="n">
        <f aca="false">I28*(1+Inputs!$F$86)</f>
        <v>7.1624</v>
      </c>
      <c r="N28" s="55" t="n">
        <f aca="false">J28*(1+Inputs!$F$86)</f>
        <v>12.7596</v>
      </c>
      <c r="O28" s="55" t="n">
        <f aca="false">K28*(1+Inputs!$F$86)</f>
        <v>10.90348</v>
      </c>
      <c r="P28" s="55" t="n">
        <f aca="false">L28*(1+Inputs!$F$86)</f>
        <v>22.25384</v>
      </c>
      <c r="R28" s="31" t="n">
        <f aca="false">SUM(E28:H28)</f>
        <v>25.671</v>
      </c>
      <c r="S28" s="55" t="n">
        <f aca="false">SUM(I28:L28)</f>
        <v>37.9138</v>
      </c>
      <c r="T28" s="55" t="n">
        <f aca="false">SUM(M28:P28)</f>
        <v>53.07932</v>
      </c>
      <c r="U28" s="55" t="n">
        <f aca="false">T28*(1+Inputs!$F$86)</f>
        <v>74.311048</v>
      </c>
      <c r="V28" s="55" t="n">
        <f aca="false">U28*(1+Inputs!$F$86)</f>
        <v>104.0354672</v>
      </c>
    </row>
    <row r="29" customFormat="false" ht="15" hidden="false" customHeight="false" outlineLevel="0" collapsed="false">
      <c r="A29" s="4" t="s">
        <v>406</v>
      </c>
      <c r="B29" s="13" t="s">
        <v>135</v>
      </c>
      <c r="C29" s="31" t="n">
        <f aca="false">(Historicals!C14-Historicals!C15)/1000</f>
        <v>-26.085</v>
      </c>
      <c r="D29" s="31" t="n">
        <f aca="false">(Historicals!D14-Historicals!D15)/1000</f>
        <v>-26.146</v>
      </c>
      <c r="E29" s="31" t="n">
        <f aca="false">(Historicals!E14-Historicals!E15)/1000</f>
        <v>-19.809</v>
      </c>
      <c r="F29" s="31" t="n">
        <f aca="false">(Historicals!F14-Historicals!F15)/1000</f>
        <v>-18.653</v>
      </c>
      <c r="G29" s="31" t="n">
        <f aca="false">(Historicals!G14-Historicals!G15)/1000</f>
        <v>-18.181</v>
      </c>
      <c r="H29" s="31" t="n">
        <f aca="false">(Historicals!H14-Historicals!H15)/1000</f>
        <v>-18.374</v>
      </c>
      <c r="I29" s="31" t="n">
        <f aca="false">(Historicals!I14-Historicals!I15)/1000</f>
        <v>-17.671</v>
      </c>
      <c r="J29" s="31" t="n">
        <f aca="false">(Historicals!J14-Historicals!J15)/1000</f>
        <v>-17.927</v>
      </c>
      <c r="K29" s="55" t="n">
        <f aca="false">(Inputs!$F$82-I29-J29)/2</f>
        <v>-17.201</v>
      </c>
      <c r="L29" s="55" t="n">
        <f aca="false">(Inputs!$F$82-I29-J29)/2</f>
        <v>-17.201</v>
      </c>
      <c r="M29" s="55" t="n">
        <f aca="false">Inputs!$F$83/4</f>
        <v>-13.75</v>
      </c>
      <c r="N29" s="55" t="n">
        <f aca="false">Inputs!$F$83/4</f>
        <v>-13.75</v>
      </c>
      <c r="O29" s="55" t="n">
        <f aca="false">Inputs!$F$83/4</f>
        <v>-13.75</v>
      </c>
      <c r="P29" s="55" t="n">
        <f aca="false">Inputs!$F$83/4</f>
        <v>-13.75</v>
      </c>
      <c r="R29" s="31" t="n">
        <f aca="false">SUM(E29:H29)</f>
        <v>-75.017</v>
      </c>
      <c r="S29" s="55" t="n">
        <f aca="false">SUM(I29:L29)</f>
        <v>-70</v>
      </c>
      <c r="T29" s="55" t="n">
        <f aca="false">SUM(M29:P29)</f>
        <v>-55</v>
      </c>
      <c r="U29" s="55" t="n">
        <f aca="false">Inputs!$F$84</f>
        <v>-40</v>
      </c>
      <c r="V29" s="55" t="n">
        <f aca="false">Inputs!$F$85</f>
        <v>-30</v>
      </c>
    </row>
    <row r="30" customFormat="false" ht="15" hidden="false" customHeight="false" outlineLevel="0" collapsed="false">
      <c r="A30" s="4" t="s">
        <v>49</v>
      </c>
      <c r="B30" s="13" t="s">
        <v>135</v>
      </c>
      <c r="C30" s="31" t="n">
        <f aca="false">Historicals!C16/1000</f>
        <v>269.482</v>
      </c>
      <c r="D30" s="31" t="n">
        <f aca="false">Historicals!D16/1000</f>
        <v>256.72</v>
      </c>
      <c r="E30" s="31" t="n">
        <f aca="false">Historicals!E16/1000</f>
        <v>244.961</v>
      </c>
      <c r="F30" s="31" t="n">
        <f aca="false">Historicals!F16/1000</f>
        <v>257.438</v>
      </c>
      <c r="G30" s="31" t="n">
        <f aca="false">Historicals!G16/1000</f>
        <v>261.188</v>
      </c>
      <c r="H30" s="31" t="n">
        <f aca="false">Historicals!H16/1000</f>
        <v>105.609</v>
      </c>
      <c r="I30" s="31" t="n">
        <f aca="false">Historicals!I16/1000</f>
        <v>111.944</v>
      </c>
      <c r="J30" s="31" t="n">
        <f aca="false">Historicals!J16/1000</f>
        <v>117.043</v>
      </c>
      <c r="K30" s="55" t="n">
        <f aca="false">AVERAGE($I30:$J30)*(1+Inputs!$F$91)^0.5</f>
        <v>117.87827295471</v>
      </c>
      <c r="L30" s="55" t="n">
        <f aca="false">AVERAGE($I30:$J30)*(1+Inputs!$F$91)^0.5</f>
        <v>117.87827295471</v>
      </c>
      <c r="M30" s="55" t="n">
        <f aca="false">AVERAGE($I30:$J30)*(1+Inputs!$F$91)^1.5</f>
        <v>124.950969331992</v>
      </c>
      <c r="N30" s="55" t="n">
        <f aca="false">AVERAGE($I30:$J30)*(1+Inputs!$F$91)^1.5</f>
        <v>124.950969331992</v>
      </c>
      <c r="O30" s="55" t="n">
        <f aca="false">AVERAGE($I30:$J30)*(1+Inputs!$F$91)^1.5</f>
        <v>124.950969331992</v>
      </c>
      <c r="P30" s="55" t="n">
        <f aca="false">AVERAGE($I30:$J30)*(1+Inputs!$F$91)^1.5</f>
        <v>124.950969331992</v>
      </c>
      <c r="R30" s="31" t="n">
        <f aca="false">SUM(E30:H30)</f>
        <v>869.196</v>
      </c>
      <c r="S30" s="55" t="n">
        <f aca="false">SUM(I30:L30)</f>
        <v>464.743545909419</v>
      </c>
      <c r="T30" s="55" t="n">
        <f aca="false">SUM(M30:P30)</f>
        <v>499.803877327968</v>
      </c>
      <c r="U30" s="55" t="n">
        <f aca="false">T30*(1+Inputs!$F$91)</f>
        <v>529.792109967647</v>
      </c>
      <c r="V30" s="55" t="n">
        <f aca="false">U30*(1+Inputs!$F$91)</f>
        <v>561.579636565705</v>
      </c>
    </row>
    <row r="31" customFormat="false" ht="15" hidden="false" customHeight="false" outlineLevel="0" collapsed="false">
      <c r="A31" s="4" t="s">
        <v>50</v>
      </c>
      <c r="B31" s="13" t="s">
        <v>135</v>
      </c>
      <c r="C31" s="31" t="n">
        <f aca="false">Historicals!C17/1000</f>
        <v>76.744</v>
      </c>
      <c r="D31" s="31" t="n">
        <f aca="false">Historicals!D17/1000</f>
        <v>46.44</v>
      </c>
      <c r="E31" s="31" t="n">
        <f aca="false">Historicals!E17/1000</f>
        <v>64.036</v>
      </c>
      <c r="F31" s="31" t="n">
        <f aca="false">Historicals!F17/1000</f>
        <v>69.773</v>
      </c>
      <c r="G31" s="31" t="n">
        <f aca="false">Historicals!G17/1000</f>
        <v>438.82</v>
      </c>
      <c r="H31" s="31" t="n">
        <f aca="false">Historicals!H17/1000</f>
        <v>-82.247</v>
      </c>
      <c r="I31" s="31" t="n">
        <f aca="false">Historicals!I17/1000</f>
        <v>22.24</v>
      </c>
      <c r="J31" s="31" t="n">
        <f aca="false">Historicals!J17/1000</f>
        <v>21.599</v>
      </c>
      <c r="K31" s="55" t="n">
        <f aca="false">(Inputs!$F$87-I31-J31)/2</f>
        <v>10.5805</v>
      </c>
      <c r="L31" s="55" t="n">
        <f aca="false">(Inputs!$F$87-I31-J31)/2</f>
        <v>10.5805</v>
      </c>
      <c r="M31" s="55" t="n">
        <f aca="false">Inputs!$F$88/4</f>
        <v>18.75</v>
      </c>
      <c r="N31" s="55" t="n">
        <f aca="false">Inputs!$F$88/4</f>
        <v>18.75</v>
      </c>
      <c r="O31" s="55" t="n">
        <f aca="false">Inputs!$F$88/4</f>
        <v>18.75</v>
      </c>
      <c r="P31" s="55" t="n">
        <f aca="false">Inputs!$F$88/4</f>
        <v>18.75</v>
      </c>
      <c r="R31" s="31" t="n">
        <f aca="false">SUM(E31:H31)</f>
        <v>490.382</v>
      </c>
      <c r="S31" s="55" t="n">
        <f aca="false">SUM(I31:L31)</f>
        <v>65</v>
      </c>
      <c r="T31" s="55" t="n">
        <f aca="false">SUM(M31:P31)</f>
        <v>75</v>
      </c>
      <c r="U31" s="55" t="n">
        <f aca="false">Inputs!$F$89</f>
        <v>85</v>
      </c>
      <c r="V31" s="55" t="n">
        <f aca="false">Inputs!$F$90</f>
        <v>90</v>
      </c>
    </row>
    <row r="32" customFormat="false" ht="15" hidden="false" customHeight="false" outlineLevel="0" collapsed="false">
      <c r="A32" s="3" t="s">
        <v>407</v>
      </c>
      <c r="B32" s="13" t="s">
        <v>135</v>
      </c>
      <c r="C32" s="42" t="n">
        <f aca="false">C21+C28+C30</f>
        <v>1150.695</v>
      </c>
      <c r="D32" s="42" t="n">
        <f aca="false">D21+D28+D30</f>
        <v>687.609</v>
      </c>
      <c r="E32" s="42" t="n">
        <f aca="false">E21+E28+E30</f>
        <v>1329.209</v>
      </c>
      <c r="F32" s="42" t="n">
        <f aca="false">F21+F28+F30</f>
        <v>1307.098</v>
      </c>
      <c r="G32" s="42" t="n">
        <f aca="false">G21+G28+G30</f>
        <v>1340.71</v>
      </c>
      <c r="H32" s="42" t="n">
        <f aca="false">H21+H28+H30</f>
        <v>496.158</v>
      </c>
      <c r="I32" s="42" t="n">
        <f aca="false">I21+I28+I30</f>
        <v>1172.531</v>
      </c>
      <c r="J32" s="42" t="n">
        <f aca="false">J21+J28+J30</f>
        <v>1230.437</v>
      </c>
      <c r="K32" s="56" t="n">
        <f aca="false">K21+K28+K30</f>
        <v>1219.14623106639</v>
      </c>
      <c r="L32" s="56" t="n">
        <f aca="false">L21+L28+L30</f>
        <v>880.527535029163</v>
      </c>
      <c r="M32" s="56" t="n">
        <f aca="false">M21+M28+M30</f>
        <v>1282.45332444841</v>
      </c>
      <c r="N32" s="56" t="n">
        <f aca="false">N21+N28+N30</f>
        <v>1359.228891774</v>
      </c>
      <c r="O32" s="56" t="n">
        <f aca="false">O21+O28+O30</f>
        <v>1261.84770529724</v>
      </c>
      <c r="P32" s="56" t="n">
        <f aca="false">P21+P28+P30</f>
        <v>905.16015556696</v>
      </c>
      <c r="R32" s="42" t="n">
        <f aca="false">R21+R28+R30</f>
        <v>4473.175</v>
      </c>
      <c r="S32" s="56" t="n">
        <f aca="false">S21+S28+S30</f>
        <v>4502.64176609555</v>
      </c>
      <c r="T32" s="56" t="n">
        <f aca="false">T21+T28+T30</f>
        <v>4808.6900770866</v>
      </c>
      <c r="U32" s="56" t="n">
        <f aca="false">U21+U28+U30</f>
        <v>5021.59586106439</v>
      </c>
      <c r="V32" s="56" t="n">
        <f aca="false">V21+V28+V30</f>
        <v>5215.97270412481</v>
      </c>
    </row>
    <row r="33" customFormat="false" ht="15" hidden="false" customHeight="false" outlineLevel="0" collapsed="false">
      <c r="A33" s="3" t="s">
        <v>408</v>
      </c>
      <c r="B33" s="13" t="s">
        <v>135</v>
      </c>
      <c r="C33" s="42" t="n">
        <f aca="false">C26+C29+C31</f>
        <v>105.796</v>
      </c>
      <c r="D33" s="42" t="n">
        <f aca="false">D26+D29+D31</f>
        <v>-193.348</v>
      </c>
      <c r="E33" s="42" t="n">
        <f aca="false">E26+E29+E31</f>
        <v>160.499</v>
      </c>
      <c r="F33" s="42" t="n">
        <f aca="false">F26+F29+F31</f>
        <v>112.436</v>
      </c>
      <c r="G33" s="42" t="n">
        <f aca="false">G26+G29+G31</f>
        <v>474.758</v>
      </c>
      <c r="H33" s="42" t="n">
        <f aca="false">H26+H29+H31</f>
        <v>-361.058</v>
      </c>
      <c r="I33" s="42" t="n">
        <f aca="false">I26+I29+I31</f>
        <v>23.494</v>
      </c>
      <c r="J33" s="42" t="n">
        <f aca="false">J26+J29+J31</f>
        <v>76.01</v>
      </c>
      <c r="K33" s="56" t="n">
        <f aca="false">K26+K29+K31</f>
        <v>73.5752749645075</v>
      </c>
      <c r="L33" s="56" t="n">
        <f aca="false">L26+L29+L31</f>
        <v>-91.2069932753524</v>
      </c>
      <c r="M33" s="56" t="n">
        <f aca="false">M26+M29+M31</f>
        <v>94.5887656402814</v>
      </c>
      <c r="N33" s="56" t="n">
        <f aca="false">N26+N29+N31</f>
        <v>144.847342428412</v>
      </c>
      <c r="O33" s="56" t="n">
        <f aca="false">O26+O29+O31</f>
        <v>102.03795907476</v>
      </c>
      <c r="P33" s="56" t="n">
        <f aca="false">P26+P29+P31</f>
        <v>-74.6528055846186</v>
      </c>
      <c r="R33" s="42" t="n">
        <f aca="false">R26+R29+R31</f>
        <v>386.635</v>
      </c>
      <c r="S33" s="56" t="n">
        <f aca="false">S26+S29+S31</f>
        <v>81.872281689155</v>
      </c>
      <c r="T33" s="56" t="n">
        <f aca="false">T26+T29+T31</f>
        <v>266.821261558835</v>
      </c>
      <c r="U33" s="56" t="n">
        <f aca="false">U26+U29+U31</f>
        <v>352.090492313179</v>
      </c>
      <c r="V33" s="56" t="n">
        <f aca="false">V26+V29+V31</f>
        <v>413.261309737448</v>
      </c>
    </row>
    <row r="34" customFormat="false" ht="15" hidden="false" customHeight="false" outlineLevel="0" collapsed="false">
      <c r="A34" s="4" t="s">
        <v>51</v>
      </c>
      <c r="B34" s="13" t="s">
        <v>135</v>
      </c>
      <c r="C34" s="31" t="n">
        <f aca="false">Historicals!C18/1000</f>
        <v>18.408</v>
      </c>
      <c r="D34" s="31" t="n">
        <f aca="false">Historicals!D18/1000</f>
        <v>17.445</v>
      </c>
      <c r="E34" s="31" t="n">
        <f aca="false">Historicals!E18/1000</f>
        <v>16.273</v>
      </c>
      <c r="F34" s="31" t="n">
        <f aca="false">Historicals!F18/1000</f>
        <v>14.477</v>
      </c>
      <c r="G34" s="31" t="n">
        <f aca="false">Historicals!G18/1000</f>
        <v>14.706</v>
      </c>
      <c r="H34" s="31" t="n">
        <f aca="false">Historicals!H18/1000</f>
        <v>15.814</v>
      </c>
      <c r="I34" s="31" t="n">
        <f aca="false">Historicals!I18/1000</f>
        <v>13.477</v>
      </c>
      <c r="J34" s="31" t="n">
        <f aca="false">Historicals!J18/1000</f>
        <v>11.047</v>
      </c>
      <c r="K34" s="55" t="n">
        <f aca="false">Inputs!$E$30</f>
        <v>12</v>
      </c>
      <c r="L34" s="55" t="n">
        <f aca="false">Inputs!$E$30</f>
        <v>12</v>
      </c>
      <c r="M34" s="55" t="n">
        <f aca="false">Inputs!$E$30</f>
        <v>12</v>
      </c>
      <c r="N34" s="55" t="n">
        <f aca="false">Inputs!$E$30</f>
        <v>12</v>
      </c>
      <c r="O34" s="55" t="n">
        <f aca="false">Inputs!$E$30</f>
        <v>12</v>
      </c>
      <c r="P34" s="55" t="n">
        <f aca="false">Inputs!$E$30</f>
        <v>12</v>
      </c>
      <c r="R34" s="31" t="n">
        <f aca="false">SUM(E34:H34)</f>
        <v>61.27</v>
      </c>
      <c r="S34" s="55" t="n">
        <f aca="false">SUM(I34:L34)</f>
        <v>48.524</v>
      </c>
      <c r="T34" s="55" t="n">
        <f aca="false">SUM(M34:P34)</f>
        <v>48</v>
      </c>
      <c r="U34" s="55" t="n">
        <f aca="false">4*Inputs!$E$30</f>
        <v>48</v>
      </c>
      <c r="V34" s="55" t="n">
        <f aca="false">4*Inputs!$E$30</f>
        <v>48</v>
      </c>
    </row>
    <row r="35" customFormat="false" ht="15" hidden="false" customHeight="false" outlineLevel="0" collapsed="false">
      <c r="A35" s="4" t="s">
        <v>52</v>
      </c>
      <c r="B35" s="13" t="s">
        <v>135</v>
      </c>
      <c r="C35" s="31" t="n">
        <f aca="false">Historicals!C19/1000</f>
        <v>16.45</v>
      </c>
      <c r="D35" s="31" t="n">
        <f aca="false">Historicals!D19/1000</f>
        <v>13.3</v>
      </c>
      <c r="E35" s="31" t="n">
        <f aca="false">Historicals!E19/1000</f>
        <v>8.941</v>
      </c>
      <c r="F35" s="31" t="n">
        <f aca="false">Historicals!F19/1000</f>
        <v>10.95</v>
      </c>
      <c r="G35" s="31" t="n">
        <f aca="false">Historicals!G19/1000</f>
        <v>12.267</v>
      </c>
      <c r="H35" s="31" t="n">
        <f aca="false">Historicals!H19/1000</f>
        <v>12.112</v>
      </c>
      <c r="I35" s="31" t="n">
        <f aca="false">Historicals!I19/1000</f>
        <v>8.696</v>
      </c>
      <c r="J35" s="31" t="n">
        <f aca="false">Historicals!J19/1000</f>
        <v>11.84</v>
      </c>
      <c r="K35" s="55" t="n">
        <f aca="false">Inputs!$E$31</f>
        <v>9</v>
      </c>
      <c r="L35" s="55" t="n">
        <f aca="false">Inputs!$E$31</f>
        <v>9</v>
      </c>
      <c r="M35" s="55" t="n">
        <f aca="false">Inputs!$E$31</f>
        <v>9</v>
      </c>
      <c r="N35" s="55" t="n">
        <f aca="false">Inputs!$E$31</f>
        <v>9</v>
      </c>
      <c r="O35" s="55" t="n">
        <f aca="false">Inputs!$E$31</f>
        <v>9</v>
      </c>
      <c r="P35" s="55" t="n">
        <f aca="false">Inputs!$E$31</f>
        <v>9</v>
      </c>
      <c r="R35" s="31" t="n">
        <f aca="false">SUM(E35:H35)</f>
        <v>44.27</v>
      </c>
      <c r="S35" s="55" t="n">
        <f aca="false">SUM(I35:L35)</f>
        <v>38.536</v>
      </c>
      <c r="T35" s="55" t="n">
        <f aca="false">SUM(M35:P35)</f>
        <v>36</v>
      </c>
      <c r="U35" s="55" t="n">
        <f aca="false">4*Inputs!$E$31</f>
        <v>36</v>
      </c>
      <c r="V35" s="55" t="n">
        <f aca="false">4*Inputs!$E$31</f>
        <v>36</v>
      </c>
    </row>
    <row r="36" customFormat="false" ht="15" hidden="false" customHeight="false" outlineLevel="0" collapsed="false">
      <c r="A36" s="4" t="s">
        <v>53</v>
      </c>
      <c r="B36" s="13" t="s">
        <v>135</v>
      </c>
      <c r="C36" s="31" t="n">
        <f aca="false">-Historicals!C20/1000</f>
        <v>-7.707</v>
      </c>
      <c r="D36" s="31" t="n">
        <f aca="false">-Historicals!D20/1000</f>
        <v>-7.683</v>
      </c>
      <c r="E36" s="31" t="n">
        <f aca="false">-Historicals!E20/1000</f>
        <v>-7.686</v>
      </c>
      <c r="F36" s="31" t="n">
        <f aca="false">-Historicals!F20/1000</f>
        <v>-7.696</v>
      </c>
      <c r="G36" s="31" t="n">
        <f aca="false">-Historicals!G20/1000</f>
        <v>-10.182</v>
      </c>
      <c r="H36" s="31" t="n">
        <f aca="false">-Historicals!H20/1000</f>
        <v>-7.88</v>
      </c>
      <c r="I36" s="31" t="n">
        <f aca="false">-Historicals!I20/1000</f>
        <v>-3.57</v>
      </c>
      <c r="J36" s="31" t="n">
        <f aca="false">-Historicals!J20/1000</f>
        <v>-3.622</v>
      </c>
      <c r="K36" s="55" t="n">
        <f aca="false">-Inputs!$E$32</f>
        <v>-3.6</v>
      </c>
      <c r="L36" s="55" t="n">
        <f aca="false">-Inputs!$E$32</f>
        <v>-3.6</v>
      </c>
      <c r="M36" s="55" t="n">
        <f aca="false">-Inputs!$E$32</f>
        <v>-3.6</v>
      </c>
      <c r="N36" s="55" t="n">
        <f aca="false">-Inputs!$E$32</f>
        <v>-3.6</v>
      </c>
      <c r="O36" s="55" t="n">
        <f aca="false">-Inputs!$E$32</f>
        <v>-3.6</v>
      </c>
      <c r="P36" s="55" t="n">
        <f aca="false">-Inputs!$E$32</f>
        <v>-3.6</v>
      </c>
      <c r="R36" s="31" t="n">
        <f aca="false">SUM(E36:H36)</f>
        <v>-33.444</v>
      </c>
      <c r="S36" s="55" t="n">
        <f aca="false">SUM(I36:L36)</f>
        <v>-14.392</v>
      </c>
      <c r="T36" s="55" t="n">
        <f aca="false">SUM(M36:P36)</f>
        <v>-14.4</v>
      </c>
      <c r="U36" s="55" t="n">
        <f aca="false">-4*Inputs!$E$32</f>
        <v>-14.4</v>
      </c>
      <c r="V36" s="55" t="n">
        <f aca="false">-4*Inputs!$E$32</f>
        <v>-14.4</v>
      </c>
    </row>
    <row r="37" customFormat="false" ht="15" hidden="false" customHeight="false" outlineLevel="0" collapsed="false">
      <c r="A37" s="3" t="s">
        <v>409</v>
      </c>
      <c r="B37" s="13" t="s">
        <v>135</v>
      </c>
      <c r="C37" s="42" t="n">
        <f aca="false">C33+C34+C35+C36</f>
        <v>132.947</v>
      </c>
      <c r="D37" s="42" t="n">
        <f aca="false">D33+D34+D35+D36</f>
        <v>-170.286</v>
      </c>
      <c r="E37" s="42" t="n">
        <f aca="false">E33+E34+E35+E36</f>
        <v>178.027</v>
      </c>
      <c r="F37" s="42" t="n">
        <f aca="false">F33+F34+F35+F36</f>
        <v>130.167</v>
      </c>
      <c r="G37" s="42" t="n">
        <f aca="false">G33+G34+G35+G36</f>
        <v>491.549</v>
      </c>
      <c r="H37" s="42" t="n">
        <f aca="false">H33+H34+H35+H36</f>
        <v>-341.012</v>
      </c>
      <c r="I37" s="42" t="n">
        <f aca="false">I33+I34+I35+I36</f>
        <v>42.097</v>
      </c>
      <c r="J37" s="42" t="n">
        <f aca="false">J33+J34+J35+J36</f>
        <v>95.275</v>
      </c>
      <c r="K37" s="56" t="n">
        <f aca="false">K33+K34+K35+K36</f>
        <v>90.9752749645076</v>
      </c>
      <c r="L37" s="56" t="n">
        <f aca="false">L33+L34+L35+L36</f>
        <v>-73.8069932753523</v>
      </c>
      <c r="M37" s="56" t="n">
        <f aca="false">M33+M34+M35+M36</f>
        <v>111.988765640281</v>
      </c>
      <c r="N37" s="56" t="n">
        <f aca="false">N33+N34+N35+N36</f>
        <v>162.247342428412</v>
      </c>
      <c r="O37" s="56" t="n">
        <f aca="false">O33+O34+O35+O36</f>
        <v>119.43795907476</v>
      </c>
      <c r="P37" s="56" t="n">
        <f aca="false">P33+P34+P35+P36</f>
        <v>-57.2528055846186</v>
      </c>
      <c r="R37" s="42" t="n">
        <f aca="false">R33+R34+R35+R36</f>
        <v>458.731</v>
      </c>
      <c r="S37" s="56" t="n">
        <f aca="false">S33+S34+S35+S36</f>
        <v>154.540281689155</v>
      </c>
      <c r="T37" s="56" t="n">
        <f aca="false">T33+T34+T35+T36</f>
        <v>336.421261558835</v>
      </c>
      <c r="U37" s="56" t="n">
        <f aca="false">U33+U34+U35+U36</f>
        <v>421.690492313179</v>
      </c>
      <c r="V37" s="56" t="n">
        <f aca="false">V33+V34+V35+V36</f>
        <v>482.861309737448</v>
      </c>
    </row>
    <row r="38" customFormat="false" ht="15" hidden="false" customHeight="false" outlineLevel="0" collapsed="false">
      <c r="A38" s="4" t="s">
        <v>410</v>
      </c>
      <c r="B38" s="13" t="s">
        <v>135</v>
      </c>
      <c r="C38" s="31" t="n">
        <f aca="false">-Historicals!C21/1000</f>
        <v>-16.98</v>
      </c>
      <c r="D38" s="31" t="n">
        <f aca="false">-Historicals!D21/1000</f>
        <v>51.857</v>
      </c>
      <c r="E38" s="31" t="n">
        <f aca="false">-Historicals!E21/1000</f>
        <v>-47.23</v>
      </c>
      <c r="F38" s="31" t="n">
        <f aca="false">-Historicals!F21/1000</f>
        <v>-24.422</v>
      </c>
      <c r="G38" s="31" t="n">
        <f aca="false">-Historicals!G21/1000</f>
        <v>-116.384</v>
      </c>
      <c r="H38" s="31" t="n">
        <f aca="false">-Historicals!H21/1000</f>
        <v>58.459</v>
      </c>
      <c r="I38" s="31" t="n">
        <f aca="false">-Historicals!I21/1000</f>
        <v>-17.974</v>
      </c>
      <c r="J38" s="31" t="n">
        <f aca="false">-Historicals!J21/1000</f>
        <v>-16.294</v>
      </c>
      <c r="K38" s="55" t="n">
        <f aca="false">-K37*Inputs!$E$29</f>
        <v>-20.9243132418367</v>
      </c>
      <c r="L38" s="55" t="n">
        <f aca="false">-L37*Inputs!$E$29</f>
        <v>16.975608453331</v>
      </c>
      <c r="M38" s="55" t="n">
        <f aca="false">-M37*Inputs!$E$29</f>
        <v>-25.7574160972647</v>
      </c>
      <c r="N38" s="55" t="n">
        <f aca="false">-N37*Inputs!$E$29</f>
        <v>-37.3168887585348</v>
      </c>
      <c r="O38" s="55" t="n">
        <f aca="false">-O37*Inputs!$E$29</f>
        <v>-27.4707305871948</v>
      </c>
      <c r="P38" s="55" t="n">
        <f aca="false">-P37*Inputs!$E$29</f>
        <v>13.1681452844623</v>
      </c>
      <c r="R38" s="31" t="n">
        <f aca="false">SUM(E38:H38)</f>
        <v>-129.577</v>
      </c>
      <c r="S38" s="55" t="n">
        <f aca="false">SUM(I38:L38)</f>
        <v>-38.2167047885057</v>
      </c>
      <c r="T38" s="55" t="n">
        <f aca="false">SUM(M38:P38)</f>
        <v>-77.376890158532</v>
      </c>
      <c r="U38" s="55" t="n">
        <f aca="false">-U37*Inputs!$E$29</f>
        <v>-96.9888132320312</v>
      </c>
      <c r="V38" s="55" t="n">
        <f aca="false">-V37*Inputs!$E$29</f>
        <v>-111.058101239613</v>
      </c>
    </row>
    <row r="39" customFormat="false" ht="15" hidden="false" customHeight="false" outlineLevel="0" collapsed="false">
      <c r="A39" s="4" t="s">
        <v>411</v>
      </c>
      <c r="B39" s="13" t="s">
        <v>135</v>
      </c>
      <c r="C39" s="31" t="n">
        <f aca="false">C37+C38</f>
        <v>115.967</v>
      </c>
      <c r="D39" s="31" t="n">
        <f aca="false">D37+D38</f>
        <v>-118.429</v>
      </c>
      <c r="E39" s="31" t="n">
        <f aca="false">E37+E38</f>
        <v>130.797</v>
      </c>
      <c r="F39" s="31" t="n">
        <f aca="false">F37+F38</f>
        <v>105.745</v>
      </c>
      <c r="G39" s="31" t="n">
        <f aca="false">G37+G38</f>
        <v>375.165</v>
      </c>
      <c r="H39" s="31" t="n">
        <f aca="false">H37+H38</f>
        <v>-282.553</v>
      </c>
      <c r="I39" s="31" t="n">
        <f aca="false">I37+I38</f>
        <v>24.123</v>
      </c>
      <c r="J39" s="31" t="n">
        <f aca="false">J37+J38</f>
        <v>78.981</v>
      </c>
      <c r="K39" s="55" t="n">
        <f aca="false">K37+K38</f>
        <v>70.0509617226708</v>
      </c>
      <c r="L39" s="55" t="n">
        <f aca="false">L37+L38</f>
        <v>-56.8313848220213</v>
      </c>
      <c r="M39" s="55" t="n">
        <f aca="false">M37+M38</f>
        <v>86.2313495430167</v>
      </c>
      <c r="N39" s="55" t="n">
        <f aca="false">N37+N38</f>
        <v>124.930453669877</v>
      </c>
      <c r="O39" s="55" t="n">
        <f aca="false">O37+O38</f>
        <v>91.9672284875652</v>
      </c>
      <c r="P39" s="55" t="n">
        <f aca="false">P37+P38</f>
        <v>-44.0846603001563</v>
      </c>
      <c r="R39" s="31" t="n">
        <f aca="false">R37+R38</f>
        <v>329.154</v>
      </c>
      <c r="S39" s="55" t="n">
        <f aca="false">S37+S38</f>
        <v>116.323576900649</v>
      </c>
      <c r="T39" s="55" t="n">
        <f aca="false">T37+T38</f>
        <v>259.044371400303</v>
      </c>
      <c r="U39" s="55" t="n">
        <f aca="false">U37+U38</f>
        <v>324.701679081148</v>
      </c>
      <c r="V39" s="55" t="n">
        <f aca="false">V37+V38</f>
        <v>371.803208497835</v>
      </c>
    </row>
    <row r="40" customFormat="false" ht="15" hidden="false" customHeight="false" outlineLevel="0" collapsed="false">
      <c r="A40" s="4" t="s">
        <v>412</v>
      </c>
      <c r="B40" s="13" t="s">
        <v>135</v>
      </c>
      <c r="C40" s="31" t="n">
        <f aca="false">Historicals!C22/1000</f>
        <v>3.073</v>
      </c>
      <c r="D40" s="31" t="n">
        <f aca="false">Historicals!D22/1000</f>
        <v>1.538</v>
      </c>
      <c r="E40" s="31" t="n">
        <f aca="false">Historicals!E22/1000</f>
        <v>2.307</v>
      </c>
      <c r="F40" s="31" t="n">
        <f aca="false">Historicals!F22/1000</f>
        <v>1.824</v>
      </c>
      <c r="G40" s="31" t="n">
        <f aca="false">Historicals!G22/1000</f>
        <v>2.201</v>
      </c>
      <c r="H40" s="31" t="n">
        <f aca="false">Historicals!H22/1000</f>
        <v>3.252</v>
      </c>
      <c r="I40" s="31" t="n">
        <f aca="false">Historicals!I22/1000</f>
        <v>0.65</v>
      </c>
      <c r="J40" s="31" t="n">
        <f aca="false">Historicals!J22/1000</f>
        <v>0.824</v>
      </c>
      <c r="K40" s="55" t="n">
        <f aca="false">-K29*Inputs!$E$35</f>
        <v>0.86005</v>
      </c>
      <c r="L40" s="55" t="n">
        <f aca="false">-L29*Inputs!$E$35</f>
        <v>0.86005</v>
      </c>
      <c r="M40" s="55" t="n">
        <f aca="false">-M29*Inputs!$E$35</f>
        <v>0.6875</v>
      </c>
      <c r="N40" s="55" t="n">
        <f aca="false">-N29*Inputs!$E$35</f>
        <v>0.6875</v>
      </c>
      <c r="O40" s="55" t="n">
        <f aca="false">-O29*Inputs!$E$35</f>
        <v>0.6875</v>
      </c>
      <c r="P40" s="55" t="n">
        <f aca="false">-P29*Inputs!$E$35</f>
        <v>0.6875</v>
      </c>
      <c r="R40" s="31" t="n">
        <f aca="false">SUM(E40:H40)</f>
        <v>9.584</v>
      </c>
      <c r="S40" s="55" t="n">
        <f aca="false">SUM(I40:L40)</f>
        <v>3.1941</v>
      </c>
      <c r="T40" s="55" t="n">
        <f aca="false">SUM(M40:P40)</f>
        <v>2.75</v>
      </c>
      <c r="U40" s="55" t="n">
        <f aca="false">-U29*Inputs!$E$35</f>
        <v>2</v>
      </c>
      <c r="V40" s="55" t="n">
        <f aca="false">-V29*Inputs!$E$35</f>
        <v>1.5</v>
      </c>
    </row>
    <row r="41" customFormat="false" ht="15" hidden="false" customHeight="false" outlineLevel="0" collapsed="false">
      <c r="A41" s="3" t="s">
        <v>413</v>
      </c>
      <c r="B41" s="13" t="s">
        <v>135</v>
      </c>
      <c r="C41" s="42" t="n">
        <f aca="false">C39+C40</f>
        <v>119.04</v>
      </c>
      <c r="D41" s="42" t="n">
        <f aca="false">D39+D40</f>
        <v>-116.891</v>
      </c>
      <c r="E41" s="42" t="n">
        <f aca="false">E39+E40</f>
        <v>133.104</v>
      </c>
      <c r="F41" s="42" t="n">
        <f aca="false">F39+F40</f>
        <v>107.569</v>
      </c>
      <c r="G41" s="42" t="n">
        <f aca="false">G39+G40</f>
        <v>377.366</v>
      </c>
      <c r="H41" s="42" t="n">
        <f aca="false">H39+H40</f>
        <v>-279.301</v>
      </c>
      <c r="I41" s="42" t="n">
        <f aca="false">I39+I40</f>
        <v>24.773</v>
      </c>
      <c r="J41" s="42" t="n">
        <f aca="false">J39+J40</f>
        <v>79.805</v>
      </c>
      <c r="K41" s="56" t="n">
        <f aca="false">K39+K40</f>
        <v>70.9110117226708</v>
      </c>
      <c r="L41" s="56" t="n">
        <f aca="false">L39+L40</f>
        <v>-55.9713348220213</v>
      </c>
      <c r="M41" s="56" t="n">
        <f aca="false">M39+M40</f>
        <v>86.9188495430167</v>
      </c>
      <c r="N41" s="56" t="n">
        <f aca="false">N39+N40</f>
        <v>125.617953669877</v>
      </c>
      <c r="O41" s="56" t="n">
        <f aca="false">O39+O40</f>
        <v>92.6547284875652</v>
      </c>
      <c r="P41" s="56" t="n">
        <f aca="false">P39+P40</f>
        <v>-43.3971603001563</v>
      </c>
      <c r="R41" s="42" t="n">
        <f aca="false">R39+R40</f>
        <v>338.738</v>
      </c>
      <c r="S41" s="56" t="n">
        <f aca="false">S39+S40</f>
        <v>119.517676900649</v>
      </c>
      <c r="T41" s="56" t="n">
        <f aca="false">T39+T40</f>
        <v>261.794371400303</v>
      </c>
      <c r="U41" s="56" t="n">
        <f aca="false">U39+U40</f>
        <v>326.701679081148</v>
      </c>
      <c r="V41" s="56" t="n">
        <f aca="false">V39+V40</f>
        <v>373.303208497835</v>
      </c>
    </row>
    <row r="42" customFormat="false" ht="15" hidden="false" customHeight="false" outlineLevel="0" collapsed="false">
      <c r="A42" s="4" t="s">
        <v>414</v>
      </c>
      <c r="B42" s="13" t="s">
        <v>120</v>
      </c>
      <c r="C42" s="57" t="n">
        <f aca="false">Historicals!C23/1000</f>
        <v>130.963</v>
      </c>
      <c r="D42" s="57" t="n">
        <f aca="false">Historicals!D23/1000</f>
        <v>126.264</v>
      </c>
      <c r="E42" s="57" t="n">
        <f aca="false">Historicals!E23/1000</f>
        <v>124.724</v>
      </c>
      <c r="F42" s="57" t="n">
        <f aca="false">Historicals!F23/1000</f>
        <v>122.203</v>
      </c>
      <c r="G42" s="57" t="n">
        <f aca="false">Historicals!G23/1000</f>
        <v>121.676</v>
      </c>
      <c r="H42" s="57" t="n">
        <f aca="false">Historicals!H23/1000</f>
        <v>114.311</v>
      </c>
      <c r="I42" s="57" t="n">
        <f aca="false">Historicals!I23/1000</f>
        <v>110.768</v>
      </c>
      <c r="J42" s="57" t="n">
        <f aca="false">Historicals!J23/1000</f>
        <v>108.568</v>
      </c>
      <c r="K42" s="58" t="n">
        <f aca="false">J42-Inputs!$F$92/Inputs!$E$5</f>
        <v>106.341654916512</v>
      </c>
      <c r="L42" s="58" t="n">
        <f aca="false">K42-Inputs!$F$92/Inputs!$E$5</f>
        <v>104.115309833024</v>
      </c>
      <c r="M42" s="58" t="n">
        <f aca="false">L42-Inputs!$F$92/Inputs!$E$5</f>
        <v>101.888964749536</v>
      </c>
      <c r="N42" s="58" t="n">
        <f aca="false">M42-Inputs!$F$92/Inputs!$E$5</f>
        <v>99.6626196660482</v>
      </c>
      <c r="O42" s="58" t="n">
        <f aca="false">N42-Inputs!$F$92/Inputs!$E$5</f>
        <v>97.4362745825603</v>
      </c>
      <c r="P42" s="58" t="n">
        <f aca="false">O42-Inputs!$F$92/Inputs!$E$5</f>
        <v>95.2099294990724</v>
      </c>
      <c r="R42" s="57" t="n">
        <f aca="false">AVERAGE(E42:H42)</f>
        <v>120.7285</v>
      </c>
      <c r="S42" s="58" t="n">
        <f aca="false">AVERAGE(I42:L42)</f>
        <v>107.448241187384</v>
      </c>
      <c r="T42" s="58" t="n">
        <f aca="false">AVERAGE(M42:P42)</f>
        <v>98.5494471243043</v>
      </c>
      <c r="U42" s="58" t="n">
        <f aca="false">T42-4*Inputs!$F$92/Inputs!$E$5</f>
        <v>89.6440667903525</v>
      </c>
      <c r="V42" s="58" t="n">
        <f aca="false">U42-4*Inputs!$F$92/Inputs!$E$5</f>
        <v>80.7386864564007</v>
      </c>
    </row>
    <row r="43" customFormat="false" ht="15" hidden="false" customHeight="false" outlineLevel="0" collapsed="false">
      <c r="A43" s="3" t="s">
        <v>415</v>
      </c>
      <c r="B43" s="13" t="s">
        <v>59</v>
      </c>
      <c r="C43" s="5" t="n">
        <f aca="false">C41/C42</f>
        <v>0.908959018959553</v>
      </c>
      <c r="D43" s="5" t="n">
        <f aca="false">D41/D42</f>
        <v>-0.925766647658874</v>
      </c>
      <c r="E43" s="5" t="n">
        <f aca="false">E41/E42</f>
        <v>1.06718835188095</v>
      </c>
      <c r="F43" s="5" t="n">
        <f aca="false">F41/F42</f>
        <v>0.88024843907269</v>
      </c>
      <c r="G43" s="5" t="n">
        <f aca="false">G41/G42</f>
        <v>3.10140044051415</v>
      </c>
      <c r="H43" s="5" t="n">
        <f aca="false">H41/H42</f>
        <v>-2.44334316032578</v>
      </c>
      <c r="I43" s="5" t="n">
        <f aca="false">I41/I42</f>
        <v>0.223647623862487</v>
      </c>
      <c r="J43" s="5" t="n">
        <f aca="false">J41/J42</f>
        <v>0.735069265345221</v>
      </c>
      <c r="K43" s="59" t="n">
        <f aca="false">K41/K42</f>
        <v>0.666822533261707</v>
      </c>
      <c r="L43" s="59" t="n">
        <f aca="false">L41/L42</f>
        <v>-0.53758985985621</v>
      </c>
      <c r="M43" s="59" t="n">
        <f aca="false">M41/M42</f>
        <v>0.853074224050474</v>
      </c>
      <c r="N43" s="59" t="n">
        <f aca="false">N41/N42</f>
        <v>1.26043198634353</v>
      </c>
      <c r="O43" s="59" t="n">
        <f aca="false">O41/O42</f>
        <v>0.950926427395954</v>
      </c>
      <c r="P43" s="59" t="n">
        <f aca="false">P41/P42</f>
        <v>-0.455804983035716</v>
      </c>
      <c r="R43" s="5" t="n">
        <f aca="false">R41/R42</f>
        <v>2.80578322434222</v>
      </c>
      <c r="S43" s="59" t="n">
        <f aca="false">S41/S42</f>
        <v>1.11232790392741</v>
      </c>
      <c r="T43" s="59" t="n">
        <f aca="false">T41/T42</f>
        <v>2.65647732219229</v>
      </c>
      <c r="U43" s="59" t="n">
        <f aca="false">U41/U42</f>
        <v>3.64443170394304</v>
      </c>
      <c r="V43" s="59" t="n">
        <f aca="false">V41/V42</f>
        <v>4.62359774331256</v>
      </c>
    </row>
    <row r="44" customFormat="false" ht="15" hidden="false" customHeight="false" outlineLevel="0" collapsed="false">
      <c r="A44" s="4" t="s">
        <v>416</v>
      </c>
      <c r="B44" s="13" t="s">
        <v>59</v>
      </c>
      <c r="C44" s="43" t="n">
        <f aca="false">Historicals!C24</f>
        <v>0.91</v>
      </c>
      <c r="D44" s="43" t="n">
        <f aca="false">Historicals!D24</f>
        <v>-0.93</v>
      </c>
      <c r="E44" s="43" t="n">
        <f aca="false">Historicals!E24</f>
        <v>1.07</v>
      </c>
      <c r="F44" s="43" t="n">
        <f aca="false">Historicals!F24</f>
        <v>0.88</v>
      </c>
      <c r="G44" s="43" t="n">
        <f aca="false">Historicals!G24</f>
        <v>3.1</v>
      </c>
      <c r="H44" s="43" t="n">
        <f aca="false">Historicals!H24</f>
        <v>-2.44</v>
      </c>
      <c r="I44" s="43" t="n">
        <f aca="false">Historicals!I24</f>
        <v>0.22</v>
      </c>
      <c r="J44" s="43" t="n">
        <f aca="false">Historicals!J24</f>
        <v>0.75</v>
      </c>
    </row>
    <row r="45" customFormat="false" ht="15" hidden="false" customHeight="false" outlineLevel="0" collapsed="false">
      <c r="A45" s="4" t="s">
        <v>60</v>
      </c>
      <c r="B45" s="13" t="s">
        <v>59</v>
      </c>
      <c r="C45" s="60" t="n">
        <f aca="false">Historicals!C25</f>
        <v>0.1725</v>
      </c>
      <c r="D45" s="60" t="n">
        <f aca="false">Historicals!D25</f>
        <v>0.1725</v>
      </c>
      <c r="E45" s="60" t="n">
        <f aca="false">Historicals!E25</f>
        <v>0.18</v>
      </c>
      <c r="F45" s="60" t="n">
        <f aca="false">Historicals!F25</f>
        <v>0.18</v>
      </c>
      <c r="G45" s="60" t="n">
        <f aca="false">Historicals!G25</f>
        <v>0.18</v>
      </c>
      <c r="H45" s="60" t="n">
        <f aca="false">Historicals!H25</f>
        <v>0.18</v>
      </c>
      <c r="I45" s="60" t="n">
        <f aca="false">Historicals!I25</f>
        <v>0.1875</v>
      </c>
      <c r="J45" s="60" t="n">
        <f aca="false">Historicals!J25</f>
        <v>0.1875</v>
      </c>
      <c r="K45" s="61" t="n">
        <f aca="false">J45</f>
        <v>0.1875</v>
      </c>
      <c r="L45" s="61" t="n">
        <f aca="false">J45</f>
        <v>0.1875</v>
      </c>
      <c r="M45" s="61" t="n">
        <f aca="false">$J45*(1+Inputs!$E$45)</f>
        <v>0.195</v>
      </c>
      <c r="N45" s="61" t="n">
        <f aca="false">$J45*(1+Inputs!$E$45)</f>
        <v>0.195</v>
      </c>
      <c r="O45" s="61" t="n">
        <f aca="false">$J45*(1+Inputs!$E$45)</f>
        <v>0.195</v>
      </c>
      <c r="P45" s="61" t="n">
        <f aca="false">$J45*(1+Inputs!$E$45)</f>
        <v>0.195</v>
      </c>
      <c r="R45" s="60" t="n">
        <f aca="false">SUM(E45:H45)</f>
        <v>0.72</v>
      </c>
      <c r="S45" s="61" t="n">
        <f aca="false">SUM(I45:L45)</f>
        <v>0.75</v>
      </c>
      <c r="T45" s="61" t="n">
        <f aca="false">SUM(M45:P45)</f>
        <v>0.78</v>
      </c>
      <c r="U45" s="61" t="n">
        <f aca="false">T45*(1+Inputs!$E$45)</f>
        <v>0.8112</v>
      </c>
      <c r="V45" s="61" t="n">
        <f aca="false">U45*(1+Inputs!$E$45)</f>
        <v>0.843648</v>
      </c>
    </row>
    <row r="47" customFormat="false" ht="15" hidden="false" customHeight="false" outlineLevel="0" collapsed="false">
      <c r="A47" s="16" t="s">
        <v>417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R47" s="17"/>
      <c r="S47" s="17"/>
      <c r="T47" s="17"/>
      <c r="U47" s="17"/>
      <c r="V47" s="17"/>
    </row>
    <row r="48" customFormat="false" ht="15" hidden="false" customHeight="false" outlineLevel="0" collapsed="false">
      <c r="A48" s="4" t="s">
        <v>418</v>
      </c>
      <c r="B48" s="13" t="s">
        <v>135</v>
      </c>
      <c r="C48" s="31" t="n">
        <f aca="false">Historicals!C57/1000</f>
        <v>39.19</v>
      </c>
      <c r="D48" s="31" t="n">
        <f aca="false">Historicals!D57/1000</f>
        <v>41.11</v>
      </c>
      <c r="E48" s="31" t="n">
        <f aca="false">Historicals!E57/1000</f>
        <v>41.7</v>
      </c>
      <c r="F48" s="31" t="n">
        <f aca="false">Historicals!F57/1000</f>
        <v>40.43</v>
      </c>
      <c r="G48" s="31" t="n">
        <f aca="false">Historicals!G57/1000</f>
        <v>44.21</v>
      </c>
      <c r="H48" s="31" t="n">
        <f aca="false">Historicals!H57/1000</f>
        <v>46.03</v>
      </c>
      <c r="I48" s="31" t="n">
        <f aca="false">Historicals!I57/1000</f>
        <v>44.14</v>
      </c>
      <c r="J48" s="31" t="n">
        <f aca="false">Historicals!J57/1000</f>
        <v>42.56</v>
      </c>
      <c r="K48" s="55" t="n">
        <f aca="false">Inputs!$E$33</f>
        <v>43</v>
      </c>
      <c r="L48" s="55" t="n">
        <f aca="false">Inputs!$E$33</f>
        <v>43</v>
      </c>
      <c r="M48" s="55" t="n">
        <f aca="false">Inputs!$E$33</f>
        <v>43</v>
      </c>
      <c r="N48" s="55" t="n">
        <f aca="false">Inputs!$E$33</f>
        <v>43</v>
      </c>
      <c r="O48" s="55" t="n">
        <f aca="false">Inputs!$E$33</f>
        <v>43</v>
      </c>
      <c r="P48" s="55" t="n">
        <f aca="false">Inputs!$E$33</f>
        <v>43</v>
      </c>
      <c r="R48" s="31" t="n">
        <f aca="false">SUM(E48:H48)</f>
        <v>172.37</v>
      </c>
      <c r="S48" s="55" t="n">
        <f aca="false">SUM(I48:L48)</f>
        <v>172.7</v>
      </c>
      <c r="T48" s="55" t="n">
        <f aca="false">SUM(M48:P48)</f>
        <v>172</v>
      </c>
      <c r="U48" s="55" t="n">
        <f aca="false">4*Inputs!$E$33</f>
        <v>172</v>
      </c>
      <c r="V48" s="55" t="n">
        <f aca="false">4*Inputs!$E$33</f>
        <v>172</v>
      </c>
    </row>
    <row r="49" customFormat="false" ht="15" hidden="false" customHeight="false" outlineLevel="0" collapsed="false">
      <c r="A49" s="3" t="s">
        <v>419</v>
      </c>
      <c r="B49" s="13" t="s">
        <v>135</v>
      </c>
      <c r="C49" s="42" t="n">
        <f aca="false">C26+C29+C48</f>
        <v>68.242</v>
      </c>
      <c r="D49" s="42" t="n">
        <f aca="false">D26+D29+D48</f>
        <v>-198.678</v>
      </c>
      <c r="E49" s="42" t="n">
        <f aca="false">E26+E29+E48</f>
        <v>138.163</v>
      </c>
      <c r="F49" s="42" t="n">
        <f aca="false">F26+F29+F48</f>
        <v>83.093</v>
      </c>
      <c r="G49" s="42" t="n">
        <f aca="false">G26+G29+G48</f>
        <v>80.148</v>
      </c>
      <c r="H49" s="42" t="n">
        <f aca="false">H26+H29+H48</f>
        <v>-232.781</v>
      </c>
      <c r="I49" s="42" t="n">
        <f aca="false">I26+I29+I48</f>
        <v>45.394</v>
      </c>
      <c r="J49" s="42" t="n">
        <f aca="false">J26+J29+J48</f>
        <v>96.971</v>
      </c>
      <c r="K49" s="56" t="n">
        <f aca="false">K26+K29+K48</f>
        <v>105.994774964508</v>
      </c>
      <c r="L49" s="56" t="n">
        <f aca="false">L26+L29+L48</f>
        <v>-58.7874932753524</v>
      </c>
      <c r="M49" s="56" t="n">
        <f aca="false">M26+M29+M48</f>
        <v>118.838765640281</v>
      </c>
      <c r="N49" s="56" t="n">
        <f aca="false">N26+N29+N48</f>
        <v>169.097342428412</v>
      </c>
      <c r="O49" s="56" t="n">
        <f aca="false">O26+O29+O48</f>
        <v>126.28795907476</v>
      </c>
      <c r="P49" s="56" t="n">
        <f aca="false">P26+P29+P48</f>
        <v>-50.4028055846186</v>
      </c>
      <c r="R49" s="42" t="n">
        <f aca="false">R26+R29+R48</f>
        <v>68.6229999999999</v>
      </c>
      <c r="S49" s="56" t="n">
        <f aca="false">S26+S29+S48</f>
        <v>189.572281689155</v>
      </c>
      <c r="T49" s="56" t="n">
        <f aca="false">T26+T29+T48</f>
        <v>363.821261558835</v>
      </c>
      <c r="U49" s="56" t="n">
        <f aca="false">U26+U29+U48</f>
        <v>439.090492313179</v>
      </c>
      <c r="V49" s="56" t="n">
        <f aca="false">V26+V29+V48</f>
        <v>495.261309737448</v>
      </c>
    </row>
    <row r="50" customFormat="false" ht="15" hidden="false" customHeight="false" outlineLevel="0" collapsed="false">
      <c r="A50" s="4" t="s">
        <v>420</v>
      </c>
      <c r="B50" s="13" t="s">
        <v>135</v>
      </c>
      <c r="C50" s="31" t="n">
        <f aca="false">C33+C48</f>
        <v>144.986</v>
      </c>
      <c r="D50" s="31" t="n">
        <f aca="false">D33+D48</f>
        <v>-152.238</v>
      </c>
      <c r="E50" s="31" t="n">
        <f aca="false">E33+E48</f>
        <v>202.199</v>
      </c>
      <c r="F50" s="31" t="n">
        <f aca="false">F33+F48</f>
        <v>152.866</v>
      </c>
      <c r="G50" s="31" t="n">
        <f aca="false">G33+G48</f>
        <v>518.968</v>
      </c>
      <c r="H50" s="31" t="n">
        <f aca="false">H33+H48</f>
        <v>-315.028</v>
      </c>
      <c r="I50" s="31" t="n">
        <f aca="false">I33+I48</f>
        <v>67.634</v>
      </c>
      <c r="J50" s="31" t="n">
        <f aca="false">J33+J48</f>
        <v>118.57</v>
      </c>
      <c r="K50" s="55" t="n">
        <f aca="false">K33+K48</f>
        <v>116.575274964508</v>
      </c>
      <c r="L50" s="55" t="n">
        <f aca="false">L33+L48</f>
        <v>-48.2069932753523</v>
      </c>
      <c r="M50" s="55" t="n">
        <f aca="false">M33+M48</f>
        <v>137.588765640281</v>
      </c>
      <c r="N50" s="55" t="n">
        <f aca="false">N33+N48</f>
        <v>187.847342428412</v>
      </c>
      <c r="O50" s="55" t="n">
        <f aca="false">O33+O48</f>
        <v>145.03795907476</v>
      </c>
      <c r="P50" s="55" t="n">
        <f aca="false">P33+P48</f>
        <v>-31.6528055846186</v>
      </c>
      <c r="R50" s="31" t="n">
        <f aca="false">R33+R48</f>
        <v>559.005</v>
      </c>
      <c r="S50" s="55" t="n">
        <f aca="false">S33+S48</f>
        <v>254.572281689155</v>
      </c>
      <c r="T50" s="55" t="n">
        <f aca="false">T33+T48</f>
        <v>438.821261558835</v>
      </c>
      <c r="U50" s="55" t="n">
        <f aca="false">U33+U48</f>
        <v>524.090492313179</v>
      </c>
      <c r="V50" s="55" t="n">
        <f aca="false">V33+V48</f>
        <v>585.261309737448</v>
      </c>
    </row>
    <row r="51" customFormat="false" ht="15" hidden="false" customHeight="false" outlineLevel="0" collapsed="false">
      <c r="A51" s="4" t="s">
        <v>421</v>
      </c>
      <c r="B51" s="13" t="s">
        <v>59</v>
      </c>
      <c r="S51" s="62" t="n">
        <f aca="false">Inputs!$E$7</f>
        <v>0.68</v>
      </c>
      <c r="T51" s="50"/>
      <c r="U51" s="50"/>
      <c r="V51" s="50"/>
    </row>
    <row r="52" customFormat="false" ht="15" hidden="false" customHeight="false" outlineLevel="0" collapsed="false">
      <c r="A52" s="4" t="s">
        <v>422</v>
      </c>
      <c r="B52" s="13" t="s">
        <v>73</v>
      </c>
      <c r="S52" s="51" t="n">
        <f aca="false">S43/S51-1</f>
        <v>0.635776329305009</v>
      </c>
      <c r="T52" s="50"/>
      <c r="U52" s="50"/>
      <c r="V52" s="50"/>
    </row>
    <row r="53" customFormat="false" ht="15" hidden="false" customHeight="false" outlineLevel="0" collapsed="false">
      <c r="A53" s="4" t="s">
        <v>423</v>
      </c>
      <c r="B53" s="13"/>
      <c r="S53" s="63" t="str">
        <f aca="false">IF(AND(S26&gt;=Inputs!$E$24,S26&lt;=Inputs!$E$25),"Yes","No")</f>
        <v>No</v>
      </c>
      <c r="T53" s="50"/>
      <c r="U53" s="50"/>
      <c r="V53" s="50"/>
    </row>
    <row r="55" customFormat="false" ht="15" hidden="false" customHeight="false" outlineLevel="0" collapsed="false">
      <c r="A55" s="16" t="s">
        <v>74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R55" s="17"/>
      <c r="S55" s="17"/>
      <c r="T55" s="17"/>
      <c r="U55" s="17"/>
      <c r="V55" s="17"/>
    </row>
    <row r="56" customFormat="false" ht="15" hidden="false" customHeight="false" outlineLevel="0" collapsed="false">
      <c r="A56" s="4" t="s">
        <v>424</v>
      </c>
      <c r="B56" s="13" t="s">
        <v>135</v>
      </c>
      <c r="C56" s="31" t="n">
        <f aca="false">(Historicals!C38+Historicals!C39)/1000</f>
        <v>2391.82</v>
      </c>
      <c r="D56" s="31" t="n">
        <f aca="false">(Historicals!D38+Historicals!D39)/1000</f>
        <v>1725.269</v>
      </c>
      <c r="E56" s="31" t="n">
        <f aca="false">(Historicals!E38+Historicals!E39)/1000</f>
        <v>2081.307</v>
      </c>
      <c r="F56" s="31" t="n">
        <f aca="false">(Historicals!F38+Historicals!F39)/1000</f>
        <v>1737.446</v>
      </c>
      <c r="G56" s="31" t="n">
        <f aca="false">(Historicals!G38+Historicals!G39)/1000</f>
        <v>1826.568</v>
      </c>
      <c r="H56" s="31" t="n">
        <f aca="false">(Historicals!H38+Historicals!H39)/1000</f>
        <v>3091.744</v>
      </c>
      <c r="I56" s="31" t="n">
        <f aca="false">(Historicals!I38+Historicals!I39)/1000</f>
        <v>1805.068</v>
      </c>
      <c r="J56" s="31" t="n">
        <f aca="false">(Historicals!J38+Historicals!J39)/1000</f>
        <v>1895.789</v>
      </c>
      <c r="K56" s="55" t="n">
        <f aca="false">J56+K87</f>
        <v>1806.93896789719</v>
      </c>
      <c r="L56" s="55" t="n">
        <f aca="false">K56+L87</f>
        <v>1594.39966964854</v>
      </c>
      <c r="M56" s="55" t="n">
        <f aca="false">L56+M87</f>
        <v>1834.99562780765</v>
      </c>
      <c r="N56" s="55" t="n">
        <f aca="false">M56+N87</f>
        <v>1786.35556621877</v>
      </c>
      <c r="O56" s="55" t="n">
        <f aca="false">N56+O87</f>
        <v>1743.03458941146</v>
      </c>
      <c r="P56" s="55" t="n">
        <f aca="false">O56+P87</f>
        <v>1567.04902030225</v>
      </c>
      <c r="R56" s="31" t="n">
        <f aca="false">H56</f>
        <v>3091.744</v>
      </c>
      <c r="S56" s="55" t="n">
        <f aca="false">L56</f>
        <v>1594.39966964854</v>
      </c>
      <c r="T56" s="55" t="n">
        <f aca="false">P56</f>
        <v>1567.04902030225</v>
      </c>
      <c r="U56" s="55" t="n">
        <f aca="false">T56+U87</f>
        <v>1595.04370719322</v>
      </c>
      <c r="V56" s="55" t="n">
        <f aca="false">U56+V87</f>
        <v>1676.09604634387</v>
      </c>
    </row>
    <row r="57" customFormat="false" ht="15" hidden="false" customHeight="false" outlineLevel="0" collapsed="false">
      <c r="A57" s="4" t="s">
        <v>425</v>
      </c>
      <c r="B57" s="13" t="s">
        <v>135</v>
      </c>
      <c r="C57" s="31" t="n">
        <f aca="false">Historicals!C40/1000</f>
        <v>307.701</v>
      </c>
      <c r="D57" s="31" t="n">
        <f aca="false">Historicals!D40/1000</f>
        <v>234.315</v>
      </c>
      <c r="E57" s="31" t="n">
        <f aca="false">Historicals!E40/1000</f>
        <v>313.334</v>
      </c>
      <c r="F57" s="31" t="n">
        <f aca="false">Historicals!F40/1000</f>
        <v>325.756</v>
      </c>
      <c r="G57" s="31" t="n">
        <f aca="false">Historicals!G40/1000</f>
        <v>305.01</v>
      </c>
      <c r="H57" s="31" t="n">
        <f aca="false">Historicals!H40/1000</f>
        <v>225.76</v>
      </c>
      <c r="I57" s="31" t="n">
        <f aca="false">Historicals!I40/1000</f>
        <v>285.786</v>
      </c>
      <c r="J57" s="31" t="n">
        <f aca="false">Historicals!J40/1000</f>
        <v>301.788</v>
      </c>
      <c r="K57" s="55" t="n">
        <f aca="false">G57*($S$21/$R$21)</f>
        <v>340.953111917971</v>
      </c>
      <c r="L57" s="55" t="n">
        <f aca="false">H57*($S$21/$R$21)</f>
        <v>252.364101329796</v>
      </c>
      <c r="M57" s="55" t="n">
        <f aca="false">I57*($T$21/$S$21)</f>
        <v>304.063690548601</v>
      </c>
      <c r="N57" s="55" t="n">
        <f aca="false">J57*($T$21/$S$21)</f>
        <v>321.089112284301</v>
      </c>
      <c r="O57" s="55" t="n">
        <f aca="false">K57*($T$21/$S$21)</f>
        <v>362.759062773574</v>
      </c>
      <c r="P57" s="55" t="n">
        <f aca="false">L57*($T$21/$S$21)</f>
        <v>268.504265472483</v>
      </c>
      <c r="R57" s="31" t="n">
        <f aca="false">H57</f>
        <v>225.76</v>
      </c>
      <c r="S57" s="55" t="n">
        <f aca="false">L57</f>
        <v>252.364101329796</v>
      </c>
      <c r="T57" s="55" t="n">
        <f aca="false">P57</f>
        <v>268.504265472483</v>
      </c>
      <c r="U57" s="55" t="n">
        <f aca="false">T57*U21/T21</f>
        <v>278.705229580886</v>
      </c>
      <c r="V57" s="55" t="n">
        <f aca="false">U57*V21/U21</f>
        <v>287.087844829755</v>
      </c>
    </row>
    <row r="58" customFormat="false" ht="15" hidden="false" customHeight="false" outlineLevel="0" collapsed="false">
      <c r="A58" s="4" t="s">
        <v>426</v>
      </c>
      <c r="B58" s="13" t="s">
        <v>135</v>
      </c>
      <c r="C58" s="31" t="n">
        <f aca="false">(Historicals!C41+Historicals!C42+Historicals!C45)/1000</f>
        <v>7800.387</v>
      </c>
      <c r="D58" s="31" t="n">
        <f aca="false">(Historicals!D41+Historicals!D42+Historicals!D45)/1000</f>
        <v>7288.294</v>
      </c>
      <c r="E58" s="31" t="n">
        <f aca="false">(Historicals!E41+Historicals!E42+Historicals!E45)/1000</f>
        <v>7399.607</v>
      </c>
      <c r="F58" s="31" t="n">
        <f aca="false">(Historicals!F41+Historicals!F42+Historicals!F45)/1000</f>
        <v>7326.222</v>
      </c>
      <c r="G58" s="31" t="n">
        <f aca="false">(Historicals!G41+Historicals!G42+Historicals!G45)/1000</f>
        <v>5964.434</v>
      </c>
      <c r="H58" s="31" t="n">
        <f aca="false">(Historicals!H41+Historicals!H42+Historicals!H45)/1000</f>
        <v>1965.224</v>
      </c>
      <c r="I58" s="31" t="n">
        <f aca="false">(Historicals!I41+Historicals!I42+Historicals!I45)/1000</f>
        <v>2441.403</v>
      </c>
      <c r="J58" s="31" t="n">
        <f aca="false">(Historicals!J41+Historicals!J42+Historicals!J45)/1000</f>
        <v>2645.18</v>
      </c>
      <c r="K58" s="55" t="n">
        <f aca="false">J58*(1+Inputs!$E$44)^0.25</f>
        <v>2645.18</v>
      </c>
      <c r="L58" s="55" t="n">
        <f aca="false">K58*(1+Inputs!$E$44)^0.25</f>
        <v>2645.18</v>
      </c>
      <c r="M58" s="55" t="n">
        <f aca="false">L58*(1+Inputs!$E$44)^0.25</f>
        <v>2645.18</v>
      </c>
      <c r="N58" s="55" t="n">
        <f aca="false">M58*(1+Inputs!$E$44)^0.25</f>
        <v>2645.18</v>
      </c>
      <c r="O58" s="55" t="n">
        <f aca="false">N58*(1+Inputs!$E$44)^0.25</f>
        <v>2645.18</v>
      </c>
      <c r="P58" s="55" t="n">
        <f aca="false">O58*(1+Inputs!$E$44)^0.25</f>
        <v>2645.18</v>
      </c>
      <c r="R58" s="31" t="n">
        <f aca="false">H58</f>
        <v>1965.224</v>
      </c>
      <c r="S58" s="55" t="n">
        <f aca="false">L58</f>
        <v>2645.18</v>
      </c>
      <c r="T58" s="55" t="n">
        <f aca="false">P58</f>
        <v>2645.18</v>
      </c>
      <c r="U58" s="55" t="n">
        <f aca="false">T58*(1+Inputs!$E$44)</f>
        <v>2645.18</v>
      </c>
      <c r="V58" s="55" t="n">
        <f aca="false">U58*(1+Inputs!$E$44)</f>
        <v>2645.18</v>
      </c>
    </row>
    <row r="59" customFormat="false" ht="15" hidden="false" customHeight="false" outlineLevel="0" collapsed="false">
      <c r="A59" s="4" t="s">
        <v>427</v>
      </c>
      <c r="B59" s="13" t="s">
        <v>135</v>
      </c>
      <c r="C59" s="31" t="n">
        <f aca="false">Historicals!C43/1000</f>
        <v>681.864</v>
      </c>
      <c r="D59" s="31" t="n">
        <f aca="false">Historicals!D43/1000</f>
        <v>745.793</v>
      </c>
      <c r="E59" s="31" t="n">
        <f aca="false">Historicals!E43/1000</f>
        <v>712.312</v>
      </c>
      <c r="F59" s="31" t="n">
        <f aca="false">Historicals!F43/1000</f>
        <v>630.287</v>
      </c>
      <c r="G59" s="31" t="n">
        <f aca="false">Historicals!G43/1000</f>
        <v>512.186</v>
      </c>
      <c r="H59" s="31" t="n">
        <f aca="false">Historicals!H43/1000</f>
        <v>730.898</v>
      </c>
      <c r="I59" s="31" t="n">
        <f aca="false">Historicals!I43/1000</f>
        <v>622.189</v>
      </c>
      <c r="J59" s="31" t="n">
        <f aca="false">Historicals!J43/1000</f>
        <v>500.935</v>
      </c>
      <c r="K59" s="55" t="n">
        <f aca="false">G59*($S$21/$R$21)</f>
        <v>572.543229995142</v>
      </c>
      <c r="L59" s="55" t="n">
        <f aca="false">H59*($S$21/$R$21)</f>
        <v>817.028778055216</v>
      </c>
      <c r="M59" s="55" t="n">
        <f aca="false">I59*($T$21/$S$21)</f>
        <v>661.981635065201</v>
      </c>
      <c r="N59" s="55" t="n">
        <f aca="false">J59*($T$21/$S$21)</f>
        <v>532.972730731958</v>
      </c>
      <c r="O59" s="55" t="n">
        <f aca="false">K59*($T$21/$S$21)</f>
        <v>609.160726945823</v>
      </c>
      <c r="P59" s="55" t="n">
        <f aca="false">L59*($T$21/$S$21)</f>
        <v>869.282559467163</v>
      </c>
      <c r="R59" s="31" t="n">
        <f aca="false">H59</f>
        <v>730.898</v>
      </c>
      <c r="S59" s="55" t="n">
        <f aca="false">L59</f>
        <v>817.028778055216</v>
      </c>
      <c r="T59" s="55" t="n">
        <f aca="false">P59</f>
        <v>869.282559467163</v>
      </c>
      <c r="U59" s="55" t="n">
        <f aca="false">T59*(U21-U23)/(T21-T23)</f>
        <v>897.997451473903</v>
      </c>
      <c r="V59" s="55" t="n">
        <f aca="false">U59*(V21-V23)/(U21-U23)</f>
        <v>922.543840548434</v>
      </c>
    </row>
    <row r="60" customFormat="false" ht="15" hidden="false" customHeight="false" outlineLevel="0" collapsed="false">
      <c r="A60" s="4" t="s">
        <v>81</v>
      </c>
      <c r="B60" s="13" t="s">
        <v>135</v>
      </c>
      <c r="C60" s="31" t="n">
        <f aca="false">Historicals!C44/1000</f>
        <v>208</v>
      </c>
      <c r="D60" s="31" t="n">
        <f aca="false">Historicals!D44/1000</f>
        <v>259.764</v>
      </c>
      <c r="E60" s="31" t="n">
        <f aca="false">Historicals!E44/1000</f>
        <v>253.687</v>
      </c>
      <c r="F60" s="31" t="n">
        <f aca="false">Historicals!F44/1000</f>
        <v>327.26</v>
      </c>
      <c r="G60" s="31" t="n">
        <f aca="false">Historicals!G44/1000</f>
        <v>297.444</v>
      </c>
      <c r="H60" s="31" t="n">
        <f aca="false">Historicals!H44/1000</f>
        <v>292.383</v>
      </c>
      <c r="I60" s="31" t="n">
        <f aca="false">Historicals!I44/1000</f>
        <v>415.301</v>
      </c>
      <c r="J60" s="31" t="n">
        <f aca="false">Historicals!J44/1000</f>
        <v>250.42</v>
      </c>
      <c r="K60" s="55" t="n">
        <f aca="false">J60</f>
        <v>250.42</v>
      </c>
      <c r="L60" s="55" t="n">
        <f aca="false">K60</f>
        <v>250.42</v>
      </c>
      <c r="M60" s="55" t="n">
        <f aca="false">L60</f>
        <v>250.42</v>
      </c>
      <c r="N60" s="55" t="n">
        <f aca="false">M60</f>
        <v>250.42</v>
      </c>
      <c r="O60" s="55" t="n">
        <f aca="false">N60</f>
        <v>250.42</v>
      </c>
      <c r="P60" s="55" t="n">
        <f aca="false">O60</f>
        <v>250.42</v>
      </c>
      <c r="R60" s="31" t="n">
        <f aca="false">H60</f>
        <v>292.383</v>
      </c>
      <c r="S60" s="55" t="n">
        <f aca="false">L60</f>
        <v>250.42</v>
      </c>
      <c r="T60" s="55" t="n">
        <f aca="false">P60</f>
        <v>250.42</v>
      </c>
      <c r="U60" s="55" t="n">
        <f aca="false">T60</f>
        <v>250.42</v>
      </c>
      <c r="V60" s="55" t="n">
        <f aca="false">U60</f>
        <v>250.42</v>
      </c>
    </row>
    <row r="61" customFormat="false" ht="15" hidden="false" customHeight="false" outlineLevel="0" collapsed="false">
      <c r="A61" s="4" t="s">
        <v>428</v>
      </c>
      <c r="B61" s="13" t="s">
        <v>135</v>
      </c>
      <c r="C61" s="31" t="n">
        <f aca="false">Historicals!C46/1000</f>
        <v>1636.887</v>
      </c>
      <c r="D61" s="31" t="n">
        <f aca="false">Historicals!D46/1000</f>
        <v>1628.144</v>
      </c>
      <c r="E61" s="31" t="n">
        <f aca="false">Historicals!E46/1000</f>
        <v>1622.134</v>
      </c>
      <c r="F61" s="31" t="n">
        <f aca="false">Historicals!F46/1000</f>
        <v>1703.474</v>
      </c>
      <c r="G61" s="31" t="n">
        <f aca="false">Historicals!G46/1000</f>
        <v>1660.742</v>
      </c>
      <c r="H61" s="31" t="n">
        <f aca="false">Historicals!H46/1000</f>
        <v>1738.806</v>
      </c>
      <c r="I61" s="31" t="n">
        <f aca="false">Historicals!I46/1000</f>
        <v>1675.914</v>
      </c>
      <c r="J61" s="31" t="n">
        <f aca="false">Historicals!J46/1000</f>
        <v>1651.753</v>
      </c>
      <c r="K61" s="55" t="n">
        <f aca="false">J61-K79-K48</f>
        <v>1681.406</v>
      </c>
      <c r="L61" s="55" t="n">
        <f aca="false">K61-L79-L48</f>
        <v>1711.059</v>
      </c>
      <c r="M61" s="55" t="n">
        <f aca="false">L61-M79-M48</f>
        <v>1714.309</v>
      </c>
      <c r="N61" s="55" t="n">
        <f aca="false">M61-N79-N48</f>
        <v>1717.559</v>
      </c>
      <c r="O61" s="55" t="n">
        <f aca="false">N61-O79-O48</f>
        <v>1720.809</v>
      </c>
      <c r="P61" s="55" t="n">
        <f aca="false">O61-P79-P48</f>
        <v>1724.059</v>
      </c>
      <c r="R61" s="31" t="n">
        <f aca="false">H61</f>
        <v>1738.806</v>
      </c>
      <c r="S61" s="55" t="n">
        <f aca="false">L61</f>
        <v>1711.059</v>
      </c>
      <c r="T61" s="55" t="n">
        <f aca="false">P61</f>
        <v>1724.059</v>
      </c>
      <c r="U61" s="55" t="n">
        <f aca="false">T61-U79-U48</f>
        <v>1737.059</v>
      </c>
      <c r="V61" s="55" t="n">
        <f aca="false">U61-V79-V48</f>
        <v>1750.059</v>
      </c>
    </row>
    <row r="62" customFormat="false" ht="15" hidden="false" customHeight="false" outlineLevel="0" collapsed="false">
      <c r="A62" s="3" t="s">
        <v>84</v>
      </c>
      <c r="B62" s="13" t="s">
        <v>135</v>
      </c>
      <c r="C62" s="42" t="n">
        <f aca="false">C56+C57+C58+C59+C60+C61</f>
        <v>13026.659</v>
      </c>
      <c r="D62" s="42" t="n">
        <f aca="false">D56+D57+D58+D59+D60+D61</f>
        <v>11881.579</v>
      </c>
      <c r="E62" s="42" t="n">
        <f aca="false">E56+E57+E58+E59+E60+E61</f>
        <v>12382.381</v>
      </c>
      <c r="F62" s="42" t="n">
        <f aca="false">F56+F57+F58+F59+F60+F61</f>
        <v>12050.445</v>
      </c>
      <c r="G62" s="42" t="n">
        <f aca="false">G56+G57+G58+G59+G60+G61</f>
        <v>10566.384</v>
      </c>
      <c r="H62" s="42" t="n">
        <f aca="false">H56+H57+H58+H59+H60+H61</f>
        <v>8044.815</v>
      </c>
      <c r="I62" s="42" t="n">
        <f aca="false">I56+I57+I58+I59+I60+I61</f>
        <v>7245.661</v>
      </c>
      <c r="J62" s="42" t="n">
        <f aca="false">J56+J57+J58+J59+J60+J61</f>
        <v>7245.865</v>
      </c>
      <c r="K62" s="56" t="n">
        <f aca="false">K56+K57+K58+K59+K60+K61</f>
        <v>7297.4413098103</v>
      </c>
      <c r="L62" s="56" t="n">
        <f aca="false">L56+L57+L58+L59+L60+L61</f>
        <v>7270.45154903355</v>
      </c>
      <c r="M62" s="56" t="n">
        <f aca="false">M56+M57+M58+M59+M60+M61</f>
        <v>7410.94995342146</v>
      </c>
      <c r="N62" s="56" t="n">
        <f aca="false">N56+N57+N58+N59+N60+N61</f>
        <v>7253.57640923503</v>
      </c>
      <c r="O62" s="56" t="n">
        <f aca="false">O56+O57+O58+O59+O60+O61</f>
        <v>7331.36337913085</v>
      </c>
      <c r="P62" s="56" t="n">
        <f aca="false">P56+P57+P58+P59+P60+P61</f>
        <v>7324.4948452419</v>
      </c>
      <c r="R62" s="42" t="n">
        <f aca="false">R56+R57+R58+R59+R60+R61</f>
        <v>8044.815</v>
      </c>
      <c r="S62" s="56" t="n">
        <f aca="false">S56+S57+S58+S59+S60+S61</f>
        <v>7270.45154903355</v>
      </c>
      <c r="T62" s="56" t="n">
        <f aca="false">T56+T57+T58+T59+T60+T61</f>
        <v>7324.4948452419</v>
      </c>
      <c r="U62" s="56" t="n">
        <f aca="false">U56+U57+U58+U59+U60+U61</f>
        <v>7404.40538824801</v>
      </c>
      <c r="V62" s="56" t="n">
        <f aca="false">V56+V57+V58+V59+V60+V61</f>
        <v>7531.38673172206</v>
      </c>
    </row>
    <row r="63" customFormat="false" ht="15" hidden="false" customHeight="false" outlineLevel="0" collapsed="false">
      <c r="A63" s="4" t="s">
        <v>429</v>
      </c>
      <c r="B63" s="13" t="s">
        <v>135</v>
      </c>
      <c r="C63" s="31" t="n">
        <f aca="false">Historicals!C48/1000</f>
        <v>931.971</v>
      </c>
      <c r="D63" s="31" t="n">
        <f aca="false">Historicals!D48/1000</f>
        <v>892.678</v>
      </c>
      <c r="E63" s="31" t="n">
        <f aca="false">Historicals!E48/1000</f>
        <v>1105.802</v>
      </c>
      <c r="F63" s="31" t="n">
        <f aca="false">Historicals!F48/1000</f>
        <v>1040.616</v>
      </c>
      <c r="G63" s="31" t="n">
        <f aca="false">Historicals!G48/1000</f>
        <v>971.411</v>
      </c>
      <c r="H63" s="31" t="n">
        <f aca="false">Historicals!H48/1000</f>
        <v>1061.194</v>
      </c>
      <c r="I63" s="31" t="n">
        <f aca="false">Historicals!I48/1000</f>
        <v>1232.554</v>
      </c>
      <c r="J63" s="31" t="n">
        <f aca="false">Historicals!J48/1000</f>
        <v>1033.42</v>
      </c>
      <c r="K63" s="55" t="n">
        <f aca="false">G63*($S$21/$R$21)</f>
        <v>1085.88440838447</v>
      </c>
      <c r="L63" s="55" t="n">
        <f aca="false">H63*($S$21/$R$21)</f>
        <v>1186.24765302344</v>
      </c>
      <c r="M63" s="55" t="n">
        <f aca="false">I63*($T$21/$S$21)</f>
        <v>1311.38305599449</v>
      </c>
      <c r="N63" s="55" t="n">
        <f aca="false">J63*($T$21/$S$21)</f>
        <v>1099.51326897306</v>
      </c>
      <c r="O63" s="55" t="n">
        <f aca="false">K63*($T$21/$S$21)</f>
        <v>1155.33308392492</v>
      </c>
      <c r="P63" s="55" t="n">
        <f aca="false">L63*($T$21/$S$21)</f>
        <v>1262.11514658844</v>
      </c>
      <c r="R63" s="31" t="n">
        <f aca="false">H63</f>
        <v>1061.194</v>
      </c>
      <c r="S63" s="55" t="n">
        <f aca="false">L63</f>
        <v>1186.24765302344</v>
      </c>
      <c r="T63" s="55" t="n">
        <f aca="false">P63</f>
        <v>1262.11514658844</v>
      </c>
      <c r="U63" s="55" t="n">
        <f aca="false">T63*(U21-U23+U25)/(T21-T23+T25)</f>
        <v>1294.04327749374</v>
      </c>
      <c r="V63" s="55" t="n">
        <f aca="false">U63*(V21-V23+V25)/(U21-U23+U25)</f>
        <v>1321.33644382152</v>
      </c>
    </row>
    <row r="64" customFormat="false" ht="15" hidden="false" customHeight="false" outlineLevel="0" collapsed="false">
      <c r="A64" s="4" t="s">
        <v>430</v>
      </c>
      <c r="B64" s="13" t="s">
        <v>135</v>
      </c>
      <c r="C64" s="31" t="n">
        <f aca="false">(Historicals!C49+Historicals!C50+Historicals!C51+Historicals!C52)/1000</f>
        <v>7977.053</v>
      </c>
      <c r="D64" s="31" t="n">
        <f aca="false">(Historicals!D49+Historicals!D50+Historicals!D51+Historicals!D52)/1000</f>
        <v>7133.481</v>
      </c>
      <c r="E64" s="31" t="n">
        <f aca="false">(Historicals!E49+Historicals!E50+Historicals!E51+Historicals!E52)/1000</f>
        <v>7479.237</v>
      </c>
      <c r="F64" s="31" t="n">
        <f aca="false">(Historicals!F49+Historicals!F50+Historicals!F51+Historicals!F52)/1000</f>
        <v>7097.835</v>
      </c>
      <c r="G64" s="31" t="n">
        <f aca="false">(Historicals!G49+Historicals!G50+Historicals!G51+Historicals!G52)/1000</f>
        <v>5454.488</v>
      </c>
      <c r="H64" s="31" t="n">
        <f aca="false">(Historicals!H49+Historicals!H50+Historicals!H51+Historicals!H52)/1000</f>
        <v>3247.112</v>
      </c>
      <c r="I64" s="31" t="n">
        <f aca="false">(Historicals!I49+Historicals!I50+Historicals!I51+Historicals!I52)/1000</f>
        <v>2380.438</v>
      </c>
      <c r="J64" s="31" t="n">
        <f aca="false">(Historicals!J49+Historicals!J50+Historicals!J51+Historicals!J52)/1000</f>
        <v>2508.875</v>
      </c>
      <c r="K64" s="55" t="n">
        <f aca="false">K58*Inputs!$E$61-Inputs!$E$26</f>
        <v>2508.875</v>
      </c>
      <c r="L64" s="55" t="n">
        <f aca="false">L58*Inputs!$E$61-Inputs!$E$26</f>
        <v>2508.875</v>
      </c>
      <c r="M64" s="55" t="n">
        <f aca="false">M58*Inputs!$E$61-Inputs!$E$26</f>
        <v>2508.875</v>
      </c>
      <c r="N64" s="55" t="n">
        <f aca="false">N58*Inputs!$E$61-Inputs!$E$26</f>
        <v>2508.875</v>
      </c>
      <c r="O64" s="55" t="n">
        <f aca="false">O58*Inputs!$E$61-Inputs!$E$26</f>
        <v>2508.875</v>
      </c>
      <c r="P64" s="55" t="n">
        <f aca="false">P58*Inputs!$E$61-Inputs!$E$26</f>
        <v>2508.875</v>
      </c>
      <c r="R64" s="31" t="n">
        <f aca="false">H64</f>
        <v>3247.112</v>
      </c>
      <c r="S64" s="55" t="n">
        <f aca="false">L64</f>
        <v>2508.875</v>
      </c>
      <c r="T64" s="55" t="n">
        <f aca="false">P64</f>
        <v>2508.875</v>
      </c>
      <c r="U64" s="50" t="n">
        <f aca="false">U58*Inputs!$E$61-Inputs!$E$26</f>
        <v>2508.875</v>
      </c>
      <c r="V64" s="50" t="n">
        <f aca="false">V58*Inputs!$E$61-Inputs!$E$26</f>
        <v>2508.875</v>
      </c>
    </row>
    <row r="65" customFormat="false" ht="15" hidden="false" customHeight="false" outlineLevel="0" collapsed="false">
      <c r="A65" s="4" t="s">
        <v>431</v>
      </c>
      <c r="B65" s="13" t="s">
        <v>135</v>
      </c>
      <c r="C65" s="31" t="n">
        <f aca="false">Historicals!C53/1000</f>
        <v>692.523</v>
      </c>
      <c r="D65" s="31" t="n">
        <f aca="false">Historicals!D53/1000</f>
        <v>696.92</v>
      </c>
      <c r="E65" s="31" t="n">
        <f aca="false">Historicals!E53/1000</f>
        <v>623.652</v>
      </c>
      <c r="F65" s="31" t="n">
        <f aca="false">Historicals!F53/1000</f>
        <v>604.061</v>
      </c>
      <c r="G65" s="31" t="n">
        <f aca="false">Historicals!G53/1000</f>
        <v>579.106</v>
      </c>
      <c r="H65" s="31" t="n">
        <f aca="false">Historicals!H53/1000</f>
        <v>579.659</v>
      </c>
      <c r="I65" s="31" t="n">
        <f aca="false">Historicals!I53/1000</f>
        <v>552.534</v>
      </c>
      <c r="J65" s="31" t="n">
        <f aca="false">Historicals!J53/1000</f>
        <v>587.551</v>
      </c>
      <c r="K65" s="55" t="n">
        <f aca="false">J65</f>
        <v>587.551</v>
      </c>
      <c r="L65" s="55" t="n">
        <f aca="false">K65</f>
        <v>587.551</v>
      </c>
      <c r="M65" s="55" t="n">
        <f aca="false">L65</f>
        <v>587.551</v>
      </c>
      <c r="N65" s="55" t="n">
        <f aca="false">M65</f>
        <v>587.551</v>
      </c>
      <c r="O65" s="55" t="n">
        <f aca="false">N65</f>
        <v>587.551</v>
      </c>
      <c r="P65" s="55" t="n">
        <f aca="false">O65</f>
        <v>587.551</v>
      </c>
      <c r="R65" s="31" t="n">
        <f aca="false">H65</f>
        <v>579.659</v>
      </c>
      <c r="S65" s="55" t="n">
        <f aca="false">L65</f>
        <v>587.551</v>
      </c>
      <c r="T65" s="55" t="n">
        <f aca="false">P65</f>
        <v>587.551</v>
      </c>
      <c r="U65" s="55" t="n">
        <f aca="false">T65</f>
        <v>587.551</v>
      </c>
      <c r="V65" s="55" t="n">
        <f aca="false">U65</f>
        <v>587.551</v>
      </c>
    </row>
    <row r="66" customFormat="false" ht="15" hidden="false" customHeight="false" outlineLevel="0" collapsed="false">
      <c r="A66" s="4" t="s">
        <v>91</v>
      </c>
      <c r="B66" s="13" t="s">
        <v>135</v>
      </c>
      <c r="C66" s="31" t="n">
        <f aca="false">Historicals!C54/1000</f>
        <v>3425.112</v>
      </c>
      <c r="D66" s="31" t="n">
        <f aca="false">Historicals!D54/1000</f>
        <v>3158.5</v>
      </c>
      <c r="E66" s="31" t="n">
        <f aca="false">Historicals!E54/1000</f>
        <v>3173.69</v>
      </c>
      <c r="F66" s="31" t="n">
        <f aca="false">Historicals!F54/1000</f>
        <v>3307.933</v>
      </c>
      <c r="G66" s="31" t="n">
        <f aca="false">Historicals!G54/1000</f>
        <v>3561.379</v>
      </c>
      <c r="H66" s="31" t="n">
        <f aca="false">Historicals!H54/1000</f>
        <v>3156.85</v>
      </c>
      <c r="I66" s="31" t="n">
        <f aca="false">Historicals!I54/1000</f>
        <v>3080.135</v>
      </c>
      <c r="J66" s="31" t="n">
        <f aca="false">Historicals!J54/1000</f>
        <v>3116.019</v>
      </c>
      <c r="K66" s="55" t="n">
        <f aca="false">J66+K39+K73+K83+K84</f>
        <v>3115.13090142582</v>
      </c>
      <c r="L66" s="55" t="n">
        <f aca="false">K66+L39+L73+L83+L84</f>
        <v>2987.77789601011</v>
      </c>
      <c r="M66" s="55" t="n">
        <f aca="false">L66+M39+M73+M83+M84</f>
        <v>3003.14089742697</v>
      </c>
      <c r="N66" s="55" t="n">
        <f aca="false">M66+N39+N73+N83+N84</f>
        <v>3057.63714026197</v>
      </c>
      <c r="O66" s="55" t="n">
        <f aca="false">N66+O39+O73+O83+O84</f>
        <v>3079.60429520593</v>
      </c>
      <c r="P66" s="55" t="n">
        <f aca="false">O66+P39+P73+P83+P84</f>
        <v>2965.95369865346</v>
      </c>
      <c r="R66" s="31" t="n">
        <f aca="false">H66</f>
        <v>3156.85</v>
      </c>
      <c r="S66" s="55" t="n">
        <f aca="false">L66</f>
        <v>2987.77789601011</v>
      </c>
      <c r="T66" s="55" t="n">
        <f aca="false">P66</f>
        <v>2965.95369865346</v>
      </c>
      <c r="U66" s="55" t="n">
        <f aca="false">T66+U39+U73+U83+U84</f>
        <v>3013.93611075427</v>
      </c>
      <c r="V66" s="55" t="n">
        <f aca="false">U66+V39+V73+V83+V84</f>
        <v>3113.62428790054</v>
      </c>
    </row>
    <row r="67" customFormat="false" ht="15" hidden="false" customHeight="false" outlineLevel="0" collapsed="false">
      <c r="A67" s="3" t="s">
        <v>432</v>
      </c>
      <c r="B67" s="13" t="s">
        <v>135</v>
      </c>
      <c r="C67" s="42" t="n">
        <f aca="false">C63+C64+C65+C66</f>
        <v>13026.659</v>
      </c>
      <c r="D67" s="42" t="n">
        <f aca="false">D63+D64+D65+D66</f>
        <v>11881.579</v>
      </c>
      <c r="E67" s="42" t="n">
        <f aca="false">E63+E64+E65+E66</f>
        <v>12382.381</v>
      </c>
      <c r="F67" s="42" t="n">
        <f aca="false">F63+F64+F65+F66</f>
        <v>12050.445</v>
      </c>
      <c r="G67" s="42" t="n">
        <f aca="false">G63+G64+G65+G66</f>
        <v>10566.384</v>
      </c>
      <c r="H67" s="42" t="n">
        <f aca="false">H63+H64+H65+H66</f>
        <v>8044.815</v>
      </c>
      <c r="I67" s="42" t="n">
        <f aca="false">I63+I64+I65+I66</f>
        <v>7245.661</v>
      </c>
      <c r="J67" s="42" t="n">
        <f aca="false">J63+J64+J65+J66</f>
        <v>7245.865</v>
      </c>
      <c r="K67" s="56" t="n">
        <f aca="false">K63+K64+K65+K66</f>
        <v>7297.4413098103</v>
      </c>
      <c r="L67" s="56" t="n">
        <f aca="false">L63+L64+L65+L66</f>
        <v>7270.45154903355</v>
      </c>
      <c r="M67" s="56" t="n">
        <f aca="false">M63+M64+M65+M66</f>
        <v>7410.94995342146</v>
      </c>
      <c r="N67" s="56" t="n">
        <f aca="false">N63+N64+N65+N66</f>
        <v>7253.57640923503</v>
      </c>
      <c r="O67" s="56" t="n">
        <f aca="false">O63+O64+O65+O66</f>
        <v>7331.36337913085</v>
      </c>
      <c r="P67" s="56" t="n">
        <f aca="false">P63+P64+P65+P66</f>
        <v>7324.4948452419</v>
      </c>
      <c r="R67" s="42" t="n">
        <f aca="false">R63+R64+R65+R66</f>
        <v>8044.815</v>
      </c>
      <c r="S67" s="56" t="n">
        <f aca="false">S63+S64+S65+S66</f>
        <v>7270.45154903355</v>
      </c>
      <c r="T67" s="56" t="n">
        <f aca="false">T63+T64+T65+T66</f>
        <v>7324.4948452419</v>
      </c>
      <c r="U67" s="56" t="n">
        <f aca="false">U63+U64+U65+U66</f>
        <v>7404.40538824801</v>
      </c>
      <c r="V67" s="56" t="n">
        <f aca="false">V63+V64+V65+V66</f>
        <v>7531.38673172206</v>
      </c>
    </row>
    <row r="68" customFormat="false" ht="15" hidden="false" customHeight="false" outlineLevel="0" collapsed="false">
      <c r="A68" s="4" t="s">
        <v>433</v>
      </c>
      <c r="B68" s="13" t="s">
        <v>135</v>
      </c>
      <c r="C68" s="64" t="n">
        <f aca="false">ROUND(C62-C67,3)</f>
        <v>0</v>
      </c>
      <c r="D68" s="64" t="n">
        <f aca="false">ROUND(D62-D67,3)</f>
        <v>0</v>
      </c>
      <c r="E68" s="64" t="n">
        <f aca="false">ROUND(E62-E67,3)</f>
        <v>0</v>
      </c>
      <c r="F68" s="64" t="n">
        <f aca="false">ROUND(F62-F67,3)</f>
        <v>0</v>
      </c>
      <c r="G68" s="64" t="n">
        <f aca="false">ROUND(G62-G67,3)</f>
        <v>0</v>
      </c>
      <c r="H68" s="64" t="n">
        <f aca="false">ROUND(H62-H67,3)</f>
        <v>0</v>
      </c>
      <c r="I68" s="64" t="n">
        <f aca="false">ROUND(I62-I67,3)</f>
        <v>0</v>
      </c>
      <c r="J68" s="64" t="n">
        <f aca="false">ROUND(J62-J67,3)</f>
        <v>0</v>
      </c>
      <c r="K68" s="65" t="n">
        <f aca="false">ROUND(K62-K67,3)</f>
        <v>0</v>
      </c>
      <c r="L68" s="65" t="n">
        <f aca="false">ROUND(L62-L67,3)</f>
        <v>0</v>
      </c>
      <c r="M68" s="65" t="n">
        <f aca="false">ROUND(M62-M67,3)</f>
        <v>0</v>
      </c>
      <c r="N68" s="65" t="n">
        <f aca="false">ROUND(N62-N67,3)</f>
        <v>0</v>
      </c>
      <c r="O68" s="65" t="n">
        <f aca="false">ROUND(O62-O67,3)</f>
        <v>0</v>
      </c>
      <c r="P68" s="65" t="n">
        <f aca="false">ROUND(P62-P67,3)</f>
        <v>0</v>
      </c>
      <c r="R68" s="64" t="n">
        <f aca="false">ROUND(R62-R67,3)</f>
        <v>0</v>
      </c>
      <c r="S68" s="65" t="n">
        <f aca="false">ROUND(S62-S67,3)</f>
        <v>0</v>
      </c>
      <c r="T68" s="65" t="n">
        <f aca="false">ROUND(T62-T67,3)</f>
        <v>0</v>
      </c>
      <c r="U68" s="65" t="n">
        <f aca="false">ROUND(U62-U67,3)</f>
        <v>0</v>
      </c>
      <c r="V68" s="65" t="n">
        <f aca="false">ROUND(V62-V67,3)</f>
        <v>0</v>
      </c>
    </row>
    <row r="70" customFormat="false" ht="15" hidden="false" customHeight="false" outlineLevel="0" collapsed="false">
      <c r="A70" s="16" t="s">
        <v>434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R70" s="17"/>
      <c r="S70" s="17"/>
      <c r="T70" s="17"/>
      <c r="U70" s="17"/>
      <c r="V70" s="17"/>
    </row>
    <row r="71" customFormat="false" ht="15" hidden="false" customHeight="false" outlineLevel="0" collapsed="false">
      <c r="A71" s="4" t="s">
        <v>411</v>
      </c>
      <c r="B71" s="13" t="s">
        <v>135</v>
      </c>
      <c r="C71" s="31" t="n">
        <f aca="false">C39</f>
        <v>115.967</v>
      </c>
      <c r="D71" s="31" t="n">
        <f aca="false">D39</f>
        <v>-118.429</v>
      </c>
      <c r="E71" s="31" t="n">
        <f aca="false">E39</f>
        <v>130.797</v>
      </c>
      <c r="F71" s="31" t="n">
        <f aca="false">F39</f>
        <v>105.745</v>
      </c>
      <c r="G71" s="31" t="n">
        <f aca="false">G39</f>
        <v>375.165</v>
      </c>
      <c r="H71" s="31" t="n">
        <f aca="false">H39</f>
        <v>-282.553</v>
      </c>
      <c r="I71" s="31" t="n">
        <f aca="false">I39</f>
        <v>24.123</v>
      </c>
      <c r="J71" s="31" t="n">
        <f aca="false">J39</f>
        <v>78.981</v>
      </c>
      <c r="K71" s="55" t="n">
        <f aca="false">K39</f>
        <v>70.0509617226708</v>
      </c>
      <c r="L71" s="55" t="n">
        <f aca="false">L39</f>
        <v>-56.8313848220213</v>
      </c>
      <c r="M71" s="55" t="n">
        <f aca="false">M39</f>
        <v>86.2313495430167</v>
      </c>
      <c r="N71" s="55" t="n">
        <f aca="false">N39</f>
        <v>124.930453669877</v>
      </c>
      <c r="O71" s="55" t="n">
        <f aca="false">O39</f>
        <v>91.9672284875652</v>
      </c>
      <c r="P71" s="55" t="n">
        <f aca="false">P39</f>
        <v>-44.0846603001563</v>
      </c>
      <c r="R71" s="31" t="n">
        <f aca="false">SUM(E71:H71)</f>
        <v>329.154</v>
      </c>
      <c r="S71" s="55" t="n">
        <f aca="false">SUM(I71:L71)</f>
        <v>116.323576900649</v>
      </c>
      <c r="T71" s="55" t="n">
        <f aca="false">SUM(M71:P71)</f>
        <v>259.044371400303</v>
      </c>
      <c r="U71" s="55" t="n">
        <f aca="false">U39</f>
        <v>324.701679081148</v>
      </c>
      <c r="V71" s="55" t="n">
        <f aca="false">V39</f>
        <v>371.803208497835</v>
      </c>
    </row>
    <row r="72" customFormat="false" ht="15" hidden="false" customHeight="false" outlineLevel="0" collapsed="false">
      <c r="A72" s="4" t="s">
        <v>418</v>
      </c>
      <c r="B72" s="13" t="s">
        <v>135</v>
      </c>
      <c r="C72" s="31" t="n">
        <f aca="false">Historicals!C57/1000</f>
        <v>39.19</v>
      </c>
      <c r="D72" s="31" t="n">
        <f aca="false">Historicals!D57/1000</f>
        <v>41.11</v>
      </c>
      <c r="E72" s="31" t="n">
        <f aca="false">Historicals!E57/1000</f>
        <v>41.7</v>
      </c>
      <c r="F72" s="31" t="n">
        <f aca="false">Historicals!F57/1000</f>
        <v>40.43</v>
      </c>
      <c r="G72" s="31" t="n">
        <f aca="false">Historicals!G57/1000</f>
        <v>44.21</v>
      </c>
      <c r="H72" s="31" t="n">
        <f aca="false">Historicals!H57/1000</f>
        <v>46.03</v>
      </c>
      <c r="I72" s="31" t="n">
        <f aca="false">Historicals!I57/1000</f>
        <v>44.14</v>
      </c>
      <c r="J72" s="31" t="n">
        <f aca="false">Historicals!J57/1000</f>
        <v>42.56</v>
      </c>
      <c r="K72" s="55" t="n">
        <f aca="false">K48</f>
        <v>43</v>
      </c>
      <c r="L72" s="55" t="n">
        <f aca="false">L48</f>
        <v>43</v>
      </c>
      <c r="M72" s="55" t="n">
        <f aca="false">M48</f>
        <v>43</v>
      </c>
      <c r="N72" s="55" t="n">
        <f aca="false">N48</f>
        <v>43</v>
      </c>
      <c r="O72" s="55" t="n">
        <f aca="false">O48</f>
        <v>43</v>
      </c>
      <c r="P72" s="55" t="n">
        <f aca="false">P48</f>
        <v>43</v>
      </c>
      <c r="R72" s="31" t="n">
        <f aca="false">SUM(E72:H72)</f>
        <v>172.37</v>
      </c>
      <c r="S72" s="55" t="n">
        <f aca="false">SUM(I72:L72)</f>
        <v>172.7</v>
      </c>
      <c r="T72" s="55" t="n">
        <f aca="false">SUM(M72:P72)</f>
        <v>172</v>
      </c>
      <c r="U72" s="55" t="n">
        <f aca="false">U48</f>
        <v>172</v>
      </c>
      <c r="V72" s="55" t="n">
        <f aca="false">V48</f>
        <v>172</v>
      </c>
    </row>
    <row r="73" customFormat="false" ht="15" hidden="false" customHeight="false" outlineLevel="0" collapsed="false">
      <c r="A73" s="4" t="s">
        <v>95</v>
      </c>
      <c r="B73" s="13" t="s">
        <v>135</v>
      </c>
      <c r="C73" s="31" t="n">
        <f aca="false">Historicals!C58/1000</f>
        <v>10.83</v>
      </c>
      <c r="D73" s="31" t="n">
        <f aca="false">Historicals!D58/1000</f>
        <v>9.19</v>
      </c>
      <c r="E73" s="31" t="n">
        <f aca="false">Historicals!E58/1000</f>
        <v>6.82</v>
      </c>
      <c r="F73" s="31" t="n">
        <f aca="false">Historicals!F58/1000</f>
        <v>10.59</v>
      </c>
      <c r="G73" s="31" t="n">
        <f aca="false">Historicals!G58/1000</f>
        <v>8.43</v>
      </c>
      <c r="H73" s="31" t="n">
        <f aca="false">Historicals!H58/1000</f>
        <v>5.91</v>
      </c>
      <c r="I73" s="31" t="n">
        <f aca="false">Historicals!I58/1000</f>
        <v>8.54</v>
      </c>
      <c r="J73" s="31" t="n">
        <f aca="false">Historicals!J58/1000</f>
        <v>9.49</v>
      </c>
      <c r="K73" s="55" t="n">
        <f aca="false">Inputs!$E$34</f>
        <v>9</v>
      </c>
      <c r="L73" s="55" t="n">
        <f aca="false">Inputs!$E$34</f>
        <v>9</v>
      </c>
      <c r="M73" s="55" t="n">
        <f aca="false">Inputs!$E$34</f>
        <v>9</v>
      </c>
      <c r="N73" s="55" t="n">
        <f aca="false">Inputs!$E$34</f>
        <v>9</v>
      </c>
      <c r="O73" s="55" t="n">
        <f aca="false">Inputs!$E$34</f>
        <v>9</v>
      </c>
      <c r="P73" s="55" t="n">
        <f aca="false">Inputs!$E$34</f>
        <v>9</v>
      </c>
      <c r="R73" s="31" t="n">
        <f aca="false">SUM(E73:H73)</f>
        <v>31.75</v>
      </c>
      <c r="S73" s="55" t="n">
        <f aca="false">SUM(I73:L73)</f>
        <v>36.03</v>
      </c>
      <c r="T73" s="55" t="n">
        <f aca="false">SUM(M73:P73)</f>
        <v>36</v>
      </c>
      <c r="U73" s="55" t="n">
        <f aca="false">4*Inputs!$E$34</f>
        <v>36</v>
      </c>
      <c r="V73" s="55" t="n">
        <f aca="false">4*Inputs!$E$34</f>
        <v>36</v>
      </c>
    </row>
    <row r="74" customFormat="false" ht="15" hidden="false" customHeight="false" outlineLevel="0" collapsed="false">
      <c r="A74" s="4" t="s">
        <v>435</v>
      </c>
      <c r="B74" s="13" t="s">
        <v>135</v>
      </c>
      <c r="K74" s="55" t="n">
        <f aca="false">-(K57-J57)</f>
        <v>-39.1651119179713</v>
      </c>
      <c r="L74" s="55" t="n">
        <f aca="false">-(L57-K57)</f>
        <v>88.5890105881749</v>
      </c>
      <c r="M74" s="55" t="n">
        <f aca="false">-(M57-L57)</f>
        <v>-51.6995892188044</v>
      </c>
      <c r="N74" s="55" t="n">
        <f aca="false">-(N57-M57)</f>
        <v>-17.0254217356998</v>
      </c>
      <c r="O74" s="55" t="n">
        <f aca="false">-(O57-N57)</f>
        <v>-41.6699504892729</v>
      </c>
      <c r="P74" s="55" t="n">
        <f aca="false">-(P57-O57)</f>
        <v>94.2547973010908</v>
      </c>
      <c r="R74" s="31" t="n">
        <f aca="false">SUM(E74:H74)</f>
        <v>0</v>
      </c>
      <c r="S74" s="55" t="n">
        <f aca="false">SUM(I74:L74)</f>
        <v>49.4238986702036</v>
      </c>
      <c r="T74" s="55" t="n">
        <f aca="false">SUM(M74:P74)</f>
        <v>-16.1401641426864</v>
      </c>
      <c r="U74" s="55" t="n">
        <f aca="false">-(U57-T57)</f>
        <v>-10.2009641084033</v>
      </c>
      <c r="V74" s="55" t="n">
        <f aca="false">-(V57-U57)</f>
        <v>-8.38261524886889</v>
      </c>
    </row>
    <row r="75" customFormat="false" ht="15" hidden="false" customHeight="false" outlineLevel="0" collapsed="false">
      <c r="A75" s="4" t="s">
        <v>436</v>
      </c>
      <c r="B75" s="13" t="s">
        <v>135</v>
      </c>
      <c r="K75" s="55" t="n">
        <f aca="false">-(K59-J59)</f>
        <v>-71.6082299951415</v>
      </c>
      <c r="L75" s="55" t="n">
        <f aca="false">-(L59-K59)</f>
        <v>-244.485548060075</v>
      </c>
      <c r="M75" s="55" t="n">
        <f aca="false">-(M59-L59)</f>
        <v>155.047142990015</v>
      </c>
      <c r="N75" s="55" t="n">
        <f aca="false">-(N59-M59)</f>
        <v>129.008904333243</v>
      </c>
      <c r="O75" s="55" t="n">
        <f aca="false">-(O59-N59)</f>
        <v>-76.1879962138654</v>
      </c>
      <c r="P75" s="55" t="n">
        <f aca="false">-(P59-O59)</f>
        <v>-260.12183252134</v>
      </c>
      <c r="R75" s="31" t="n">
        <f aca="false">SUM(E75:H75)</f>
        <v>0</v>
      </c>
      <c r="S75" s="55" t="n">
        <f aca="false">SUM(I75:L75)</f>
        <v>-316.093778055216</v>
      </c>
      <c r="T75" s="55" t="n">
        <f aca="false">SUM(M75:P75)</f>
        <v>-52.2537814119471</v>
      </c>
      <c r="U75" s="55" t="n">
        <f aca="false">-(U59-T59)</f>
        <v>-28.7148920067397</v>
      </c>
      <c r="V75" s="55" t="n">
        <f aca="false">-(V59-U59)</f>
        <v>-24.5463890745308</v>
      </c>
    </row>
    <row r="76" customFormat="false" ht="15" hidden="false" customHeight="false" outlineLevel="0" collapsed="false">
      <c r="A76" s="4" t="s">
        <v>437</v>
      </c>
      <c r="B76" s="13" t="s">
        <v>135</v>
      </c>
      <c r="K76" s="55" t="n">
        <f aca="false">(K63-J63)</f>
        <v>52.4644083844742</v>
      </c>
      <c r="L76" s="55" t="n">
        <f aca="false">(L63-K63)</f>
        <v>100.363244638967</v>
      </c>
      <c r="M76" s="55" t="n">
        <f aca="false">(M63-L63)</f>
        <v>125.135402971045</v>
      </c>
      <c r="N76" s="55" t="n">
        <f aca="false">(N63-M63)</f>
        <v>-211.869787021426</v>
      </c>
      <c r="O76" s="55" t="n">
        <f aca="false">(O63-N63)</f>
        <v>55.8198149518598</v>
      </c>
      <c r="P76" s="55" t="n">
        <f aca="false">(P63-O63)</f>
        <v>106.782062663518</v>
      </c>
      <c r="R76" s="31" t="n">
        <f aca="false">SUM(E76:H76)</f>
        <v>0</v>
      </c>
      <c r="S76" s="55" t="n">
        <f aca="false">SUM(I76:L76)</f>
        <v>152.827653023441</v>
      </c>
      <c r="T76" s="55" t="n">
        <f aca="false">SUM(M76:P76)</f>
        <v>75.8674935649979</v>
      </c>
      <c r="U76" s="55" t="n">
        <f aca="false">(U63-T63)</f>
        <v>31.9281309053038</v>
      </c>
      <c r="V76" s="55" t="n">
        <f aca="false">(V63-U63)</f>
        <v>27.293166327778</v>
      </c>
    </row>
    <row r="77" customFormat="false" ht="15" hidden="false" customHeight="false" outlineLevel="0" collapsed="false">
      <c r="A77" s="4" t="s">
        <v>438</v>
      </c>
      <c r="B77" s="13" t="s">
        <v>135</v>
      </c>
      <c r="C77" s="31" t="n">
        <f aca="false">C78-C71-C72-C73</f>
        <v>187.026</v>
      </c>
      <c r="D77" s="31" t="n">
        <f aca="false">D78-D71-D72-D73</f>
        <v>201.307</v>
      </c>
      <c r="E77" s="31" t="n">
        <f aca="false">E78-E71-E72-E73</f>
        <v>-37.783</v>
      </c>
      <c r="F77" s="31" t="n">
        <f aca="false">F78-F71-F72-F73</f>
        <v>211.193</v>
      </c>
      <c r="G77" s="31" t="n">
        <f aca="false">G78-G71-G72-G73</f>
        <v>-520.394</v>
      </c>
      <c r="H77" s="31" t="n">
        <f aca="false">H78-H71-H72-H73</f>
        <v>382.632</v>
      </c>
      <c r="I77" s="31" t="n">
        <f aca="false">I78-I71-I72-I73</f>
        <v>-304.824</v>
      </c>
      <c r="J77" s="31" t="n">
        <f aca="false">J78-J71-J72-J73</f>
        <v>37.305</v>
      </c>
      <c r="K77" s="55" t="n">
        <f aca="false">0</f>
        <v>0</v>
      </c>
      <c r="L77" s="55" t="n">
        <f aca="false">0</f>
        <v>0</v>
      </c>
      <c r="M77" s="55" t="n">
        <f aca="false">0</f>
        <v>0</v>
      </c>
      <c r="N77" s="55" t="n">
        <f aca="false">0</f>
        <v>0</v>
      </c>
      <c r="O77" s="55" t="n">
        <f aca="false">0</f>
        <v>0</v>
      </c>
      <c r="P77" s="55" t="n">
        <f aca="false">0</f>
        <v>0</v>
      </c>
      <c r="R77" s="31" t="n">
        <f aca="false">SUM(E77:H77)</f>
        <v>35.6480000000001</v>
      </c>
      <c r="S77" s="55" t="n">
        <f aca="false">SUM(I77:L77)</f>
        <v>-267.519</v>
      </c>
      <c r="T77" s="55" t="n">
        <f aca="false">SUM(M77:P77)</f>
        <v>0</v>
      </c>
      <c r="U77" s="55" t="n">
        <f aca="false">0</f>
        <v>0</v>
      </c>
      <c r="V77" s="55" t="n">
        <f aca="false">0</f>
        <v>0</v>
      </c>
    </row>
    <row r="78" customFormat="false" ht="15" hidden="false" customHeight="false" outlineLevel="0" collapsed="false">
      <c r="A78" s="3" t="s">
        <v>439</v>
      </c>
      <c r="B78" s="13" t="s">
        <v>135</v>
      </c>
      <c r="C78" s="42" t="n">
        <f aca="false">Historicals!C56/1000</f>
        <v>353.013</v>
      </c>
      <c r="D78" s="42" t="n">
        <f aca="false">Historicals!D56/1000</f>
        <v>133.178</v>
      </c>
      <c r="E78" s="42" t="n">
        <f aca="false">Historicals!E56/1000</f>
        <v>141.534</v>
      </c>
      <c r="F78" s="42" t="n">
        <f aca="false">Historicals!F56/1000</f>
        <v>367.958</v>
      </c>
      <c r="G78" s="42" t="n">
        <f aca="false">Historicals!G56/1000</f>
        <v>-92.589</v>
      </c>
      <c r="H78" s="42" t="n">
        <f aca="false">Historicals!H56/1000</f>
        <v>152.019</v>
      </c>
      <c r="I78" s="42" t="n">
        <f aca="false">Historicals!I56/1000</f>
        <v>-228.021</v>
      </c>
      <c r="J78" s="42" t="n">
        <f aca="false">Historicals!J56/1000</f>
        <v>168.336</v>
      </c>
      <c r="K78" s="56" t="n">
        <f aca="false">SUM(K71:K77)</f>
        <v>63.7420281940322</v>
      </c>
      <c r="L78" s="56" t="n">
        <f aca="false">SUM(L71:L77)</f>
        <v>-60.3646776549544</v>
      </c>
      <c r="M78" s="56" t="n">
        <f aca="false">SUM(M71:M77)</f>
        <v>366.714306285273</v>
      </c>
      <c r="N78" s="56" t="n">
        <f aca="false">SUM(N71:N77)</f>
        <v>77.0441492459945</v>
      </c>
      <c r="O78" s="56" t="n">
        <f aca="false">SUM(O71:O77)</f>
        <v>81.9290967362867</v>
      </c>
      <c r="P78" s="56" t="n">
        <f aca="false">SUM(P71:P77)</f>
        <v>-51.169632856887</v>
      </c>
      <c r="R78" s="42" t="n">
        <f aca="false">SUM(E78:H78)</f>
        <v>568.922</v>
      </c>
      <c r="S78" s="56" t="n">
        <f aca="false">SUM(I78:L78)</f>
        <v>-56.3076494609222</v>
      </c>
      <c r="T78" s="56" t="n">
        <f aca="false">SUM(M78:P78)</f>
        <v>474.517919410667</v>
      </c>
      <c r="U78" s="56" t="n">
        <f aca="false">SUM(U71:U77)</f>
        <v>525.713953871309</v>
      </c>
      <c r="V78" s="56" t="n">
        <f aca="false">SUM(V71:V77)</f>
        <v>574.167370502213</v>
      </c>
    </row>
    <row r="79" customFormat="false" ht="15" hidden="false" customHeight="false" outlineLevel="0" collapsed="false">
      <c r="A79" s="4" t="s">
        <v>96</v>
      </c>
      <c r="B79" s="13" t="s">
        <v>135</v>
      </c>
      <c r="C79" s="31" t="n">
        <f aca="false">Historicals!C59/1000</f>
        <v>-52.589</v>
      </c>
      <c r="D79" s="31" t="n">
        <f aca="false">Historicals!D59/1000</f>
        <v>-56.139</v>
      </c>
      <c r="E79" s="31" t="n">
        <f aca="false">Historicals!E59/1000</f>
        <v>-29.973</v>
      </c>
      <c r="F79" s="31" t="n">
        <f aca="false">Historicals!F59/1000</f>
        <v>-35.587</v>
      </c>
      <c r="G79" s="31" t="n">
        <f aca="false">Historicals!G59/1000</f>
        <v>-36.53</v>
      </c>
      <c r="H79" s="31" t="n">
        <f aca="false">Historicals!H59/1000</f>
        <v>-51.589</v>
      </c>
      <c r="I79" s="31" t="n">
        <f aca="false">Historicals!I59/1000</f>
        <v>-31.792</v>
      </c>
      <c r="J79" s="31" t="n">
        <f aca="false">Historicals!J59/1000</f>
        <v>-12.902</v>
      </c>
      <c r="K79" s="55" t="n">
        <f aca="false">-(Inputs!$E$36+I79+J79)/2</f>
        <v>-72.653</v>
      </c>
      <c r="L79" s="55" t="n">
        <f aca="false">-(Inputs!$E$36+I79+J79)/2</f>
        <v>-72.653</v>
      </c>
      <c r="M79" s="55" t="n">
        <f aca="false">-Inputs!$E$37/4</f>
        <v>-46.25</v>
      </c>
      <c r="N79" s="55" t="n">
        <f aca="false">-Inputs!$E$37/4</f>
        <v>-46.25</v>
      </c>
      <c r="O79" s="55" t="n">
        <f aca="false">-Inputs!$E$37/4</f>
        <v>-46.25</v>
      </c>
      <c r="P79" s="55" t="n">
        <f aca="false">-Inputs!$E$37/4</f>
        <v>-46.25</v>
      </c>
      <c r="R79" s="31" t="n">
        <f aca="false">SUM(E79:H79)</f>
        <v>-153.679</v>
      </c>
      <c r="S79" s="55" t="n">
        <f aca="false">SUM(I79:L79)</f>
        <v>-190</v>
      </c>
      <c r="T79" s="55" t="n">
        <f aca="false">SUM(M79:P79)</f>
        <v>-185</v>
      </c>
      <c r="U79" s="55" t="n">
        <f aca="false">-Inputs!$E$37</f>
        <v>-185</v>
      </c>
      <c r="V79" s="55" t="n">
        <f aca="false">-Inputs!$E$37</f>
        <v>-185</v>
      </c>
    </row>
    <row r="80" customFormat="false" ht="15" hidden="false" customHeight="false" outlineLevel="0" collapsed="false">
      <c r="A80" s="4" t="s">
        <v>440</v>
      </c>
      <c r="B80" s="13" t="s">
        <v>135</v>
      </c>
      <c r="K80" s="55" t="n">
        <f aca="false">-(K58-J58)</f>
        <v>-0</v>
      </c>
      <c r="L80" s="55" t="n">
        <f aca="false">-(L58-K58)</f>
        <v>-0</v>
      </c>
      <c r="M80" s="55" t="n">
        <f aca="false">-(M58-L58)</f>
        <v>-0</v>
      </c>
      <c r="N80" s="55" t="n">
        <f aca="false">-(N58-M58)</f>
        <v>-0</v>
      </c>
      <c r="O80" s="55" t="n">
        <f aca="false">-(O58-N58)</f>
        <v>-0</v>
      </c>
      <c r="P80" s="55" t="n">
        <f aca="false">-(P58-O58)</f>
        <v>-0</v>
      </c>
      <c r="R80" s="31" t="n">
        <f aca="false">SUM(E80:H80)</f>
        <v>0</v>
      </c>
      <c r="S80" s="55" t="n">
        <f aca="false">SUM(I80:L80)</f>
        <v>0</v>
      </c>
      <c r="T80" s="55" t="n">
        <f aca="false">SUM(M80:P80)</f>
        <v>0</v>
      </c>
      <c r="U80" s="55" t="n">
        <f aca="false">-(U58-T58)</f>
        <v>-0</v>
      </c>
      <c r="V80" s="55" t="n">
        <f aca="false">-(V58-U58)</f>
        <v>-0</v>
      </c>
    </row>
    <row r="81" customFormat="false" ht="15" hidden="false" customHeight="false" outlineLevel="0" collapsed="false">
      <c r="A81" s="3" t="s">
        <v>441</v>
      </c>
      <c r="B81" s="13" t="s">
        <v>135</v>
      </c>
      <c r="C81" s="42" t="n">
        <f aca="false">Historicals!C60/1000</f>
        <v>-89.148</v>
      </c>
      <c r="D81" s="42" t="n">
        <f aca="false">Historicals!D60/1000</f>
        <v>102.847</v>
      </c>
      <c r="E81" s="42" t="n">
        <f aca="false">Historicals!E60/1000</f>
        <v>61.395</v>
      </c>
      <c r="F81" s="42" t="n">
        <f aca="false">Historicals!F60/1000</f>
        <v>-151.249</v>
      </c>
      <c r="G81" s="42" t="n">
        <f aca="false">Historicals!G60/1000</f>
        <v>295.331</v>
      </c>
      <c r="H81" s="42" t="n">
        <f aca="false">Historicals!H60/1000</f>
        <v>3573.298</v>
      </c>
      <c r="I81" s="42" t="n">
        <f aca="false">Historicals!I60/1000</f>
        <v>-92.004</v>
      </c>
      <c r="J81" s="42" t="n">
        <f aca="false">Historicals!J60/1000</f>
        <v>-174.734</v>
      </c>
      <c r="K81" s="56" t="n">
        <f aca="false">K79+K80</f>
        <v>-72.653</v>
      </c>
      <c r="L81" s="56" t="n">
        <f aca="false">L79+L80</f>
        <v>-72.653</v>
      </c>
      <c r="M81" s="56" t="n">
        <f aca="false">M79+M80</f>
        <v>-46.25</v>
      </c>
      <c r="N81" s="56" t="n">
        <f aca="false">N79+N80</f>
        <v>-46.25</v>
      </c>
      <c r="O81" s="56" t="n">
        <f aca="false">O79+O80</f>
        <v>-46.25</v>
      </c>
      <c r="P81" s="56" t="n">
        <f aca="false">P79+P80</f>
        <v>-46.25</v>
      </c>
      <c r="R81" s="42" t="n">
        <f aca="false">SUM(E81:H81)</f>
        <v>3778.775</v>
      </c>
      <c r="S81" s="56" t="n">
        <f aca="false">SUM(I81:L81)</f>
        <v>-412.044</v>
      </c>
      <c r="T81" s="56" t="n">
        <f aca="false">SUM(M81:P81)</f>
        <v>-185</v>
      </c>
      <c r="U81" s="56" t="n">
        <f aca="false">U79+U80</f>
        <v>-185</v>
      </c>
      <c r="V81" s="56" t="n">
        <f aca="false">V79+V80</f>
        <v>-185</v>
      </c>
    </row>
    <row r="82" customFormat="false" ht="15" hidden="false" customHeight="false" outlineLevel="0" collapsed="false">
      <c r="A82" s="4" t="s">
        <v>442</v>
      </c>
      <c r="B82" s="13" t="s">
        <v>135</v>
      </c>
      <c r="K82" s="55" t="n">
        <f aca="false">(K64-J64)</f>
        <v>0</v>
      </c>
      <c r="L82" s="55" t="n">
        <f aca="false">(L64-K64)</f>
        <v>0</v>
      </c>
      <c r="M82" s="55" t="n">
        <f aca="false">(M64-L64)</f>
        <v>0</v>
      </c>
      <c r="N82" s="55" t="n">
        <f aca="false">(N64-M64)</f>
        <v>0</v>
      </c>
      <c r="O82" s="55" t="n">
        <f aca="false">(O64-N64)</f>
        <v>0</v>
      </c>
      <c r="P82" s="55" t="n">
        <f aca="false">(P64-O64)</f>
        <v>0</v>
      </c>
      <c r="R82" s="31" t="n">
        <f aca="false">SUM(E82:H82)</f>
        <v>0</v>
      </c>
      <c r="S82" s="55" t="n">
        <f aca="false">SUM(I82:L82)</f>
        <v>0</v>
      </c>
      <c r="T82" s="55" t="n">
        <f aca="false">SUM(M82:P82)</f>
        <v>0</v>
      </c>
      <c r="U82" s="55" t="n">
        <f aca="false">(U64-T64)</f>
        <v>0</v>
      </c>
      <c r="V82" s="55" t="n">
        <f aca="false">(V64-U64)</f>
        <v>0</v>
      </c>
    </row>
    <row r="83" customFormat="false" ht="15" hidden="false" customHeight="false" outlineLevel="0" collapsed="false">
      <c r="A83" s="4" t="s">
        <v>307</v>
      </c>
      <c r="B83" s="13" t="s">
        <v>135</v>
      </c>
      <c r="C83" s="31" t="n">
        <f aca="false">Historicals!C61/1000</f>
        <v>-22.095</v>
      </c>
      <c r="D83" s="31" t="n">
        <f aca="false">Historicals!D61/1000</f>
        <v>-21.77</v>
      </c>
      <c r="E83" s="31" t="n">
        <f aca="false">Historicals!E61/1000</f>
        <v>-22.921</v>
      </c>
      <c r="F83" s="31" t="n">
        <f aca="false">Historicals!F61/1000</f>
        <v>-21.835</v>
      </c>
      <c r="G83" s="31" t="n">
        <f aca="false">Historicals!G61/1000</f>
        <v>-21.532</v>
      </c>
      <c r="H83" s="31" t="n">
        <f aca="false">Historicals!H61/1000</f>
        <v>-20.1</v>
      </c>
      <c r="I83" s="31" t="n">
        <f aca="false">Historicals!I61/1000</f>
        <v>-21.54</v>
      </c>
      <c r="J83" s="31" t="n">
        <f aca="false">Historicals!J61/1000</f>
        <v>-19.671</v>
      </c>
      <c r="K83" s="55" t="n">
        <f aca="false">-K45*K42</f>
        <v>-19.939060296846</v>
      </c>
      <c r="L83" s="55" t="n">
        <f aca="false">-L45*L42</f>
        <v>-19.521620593692</v>
      </c>
      <c r="M83" s="55" t="n">
        <f aca="false">-M45*M42</f>
        <v>-19.8683481261596</v>
      </c>
      <c r="N83" s="55" t="n">
        <f aca="false">-N45*N42</f>
        <v>-19.4342108348794</v>
      </c>
      <c r="O83" s="55" t="n">
        <f aca="false">-O45*O42</f>
        <v>-19.0000735435993</v>
      </c>
      <c r="P83" s="55" t="n">
        <f aca="false">-P45*P42</f>
        <v>-18.5659362523191</v>
      </c>
      <c r="R83" s="31" t="n">
        <f aca="false">SUM(E83:H83)</f>
        <v>-86.388</v>
      </c>
      <c r="S83" s="55" t="n">
        <f aca="false">SUM(I83:L83)</f>
        <v>-80.671680890538</v>
      </c>
      <c r="T83" s="55" t="n">
        <f aca="false">SUM(M83:P83)</f>
        <v>-76.8685687569573</v>
      </c>
      <c r="U83" s="55" t="n">
        <f aca="false">-U45*U42</f>
        <v>-72.7192669803339</v>
      </c>
      <c r="V83" s="55" t="n">
        <f aca="false">-V45*V42</f>
        <v>-68.1150313515696</v>
      </c>
    </row>
    <row r="84" customFormat="false" ht="15" hidden="false" customHeight="false" outlineLevel="0" collapsed="false">
      <c r="A84" s="4" t="s">
        <v>443</v>
      </c>
      <c r="B84" s="13" t="s">
        <v>135</v>
      </c>
      <c r="C84" s="31" t="n">
        <f aca="false">Historicals!C62/1000</f>
        <v>-150.135</v>
      </c>
      <c r="D84" s="31" t="n">
        <f aca="false">Historicals!D62/1000</f>
        <v>-100.019</v>
      </c>
      <c r="E84" s="31" t="n">
        <f aca="false">Historicals!E62/1000</f>
        <v>-93.095</v>
      </c>
      <c r="F84" s="31" t="n">
        <f aca="false">Historicals!F62/1000</f>
        <v>-0.045</v>
      </c>
      <c r="G84" s="31" t="n">
        <f aca="false">Historicals!G62/1000</f>
        <v>-100.069</v>
      </c>
      <c r="H84" s="31" t="n">
        <f aca="false">Historicals!H62/1000</f>
        <v>-160.061</v>
      </c>
      <c r="I84" s="31" t="n">
        <f aca="false">Historicals!I62/1000</f>
        <v>-70.018</v>
      </c>
      <c r="J84" s="31" t="n">
        <f aca="false">Historicals!J62/1000</f>
        <v>-30.37</v>
      </c>
      <c r="K84" s="55" t="n">
        <f aca="false">-Inputs!$F$92</f>
        <v>-60</v>
      </c>
      <c r="L84" s="55" t="n">
        <f aca="false">-Inputs!$F$92</f>
        <v>-60</v>
      </c>
      <c r="M84" s="55" t="n">
        <f aca="false">-Inputs!$F$92</f>
        <v>-60</v>
      </c>
      <c r="N84" s="55" t="n">
        <f aca="false">-Inputs!$F$92</f>
        <v>-60</v>
      </c>
      <c r="O84" s="55" t="n">
        <f aca="false">-Inputs!$F$92</f>
        <v>-60</v>
      </c>
      <c r="P84" s="55" t="n">
        <f aca="false">-Inputs!$F$92</f>
        <v>-60</v>
      </c>
      <c r="R84" s="31" t="n">
        <f aca="false">SUM(E84:H84)</f>
        <v>-353.27</v>
      </c>
      <c r="S84" s="55" t="n">
        <f aca="false">SUM(I84:L84)</f>
        <v>-220.388</v>
      </c>
      <c r="T84" s="55" t="n">
        <f aca="false">SUM(M84:P84)</f>
        <v>-240</v>
      </c>
      <c r="U84" s="55" t="n">
        <f aca="false">-4*Inputs!$F$92</f>
        <v>-240</v>
      </c>
      <c r="V84" s="55" t="n">
        <f aca="false">-4*Inputs!$F$92</f>
        <v>-240</v>
      </c>
    </row>
    <row r="85" customFormat="false" ht="15" hidden="false" customHeight="false" outlineLevel="0" collapsed="false">
      <c r="A85" s="3" t="s">
        <v>444</v>
      </c>
      <c r="B85" s="13" t="s">
        <v>135</v>
      </c>
      <c r="C85" s="42" t="n">
        <f aca="false">Historicals!C63/1000</f>
        <v>131.462</v>
      </c>
      <c r="D85" s="42" t="n">
        <f aca="false">Historicals!D63/1000</f>
        <v>-885.775</v>
      </c>
      <c r="E85" s="42" t="n">
        <f aca="false">Historicals!E63/1000</f>
        <v>150.185</v>
      </c>
      <c r="F85" s="42" t="n">
        <f aca="false">Historicals!F63/1000</f>
        <v>-566.704</v>
      </c>
      <c r="G85" s="42" t="n">
        <f aca="false">Historicals!G63/1000</f>
        <v>-131.156</v>
      </c>
      <c r="H85" s="42" t="n">
        <f aca="false">Historicals!H63/1000</f>
        <v>-2462.625</v>
      </c>
      <c r="I85" s="42" t="n">
        <f aca="false">Historicals!I63/1000</f>
        <v>-959.337</v>
      </c>
      <c r="J85" s="42" t="n">
        <f aca="false">Historicals!J63/1000</f>
        <v>100.433</v>
      </c>
      <c r="K85" s="56" t="n">
        <f aca="false">SUM(K82:K84)</f>
        <v>-79.939060296846</v>
      </c>
      <c r="L85" s="56" t="n">
        <f aca="false">SUM(L82:L84)</f>
        <v>-79.521620593692</v>
      </c>
      <c r="M85" s="56" t="n">
        <f aca="false">SUM(M82:M84)</f>
        <v>-79.8683481261596</v>
      </c>
      <c r="N85" s="56" t="n">
        <f aca="false">SUM(N82:N84)</f>
        <v>-79.4342108348794</v>
      </c>
      <c r="O85" s="56" t="n">
        <f aca="false">SUM(O82:O84)</f>
        <v>-79.0000735435993</v>
      </c>
      <c r="P85" s="56" t="n">
        <f aca="false">SUM(P82:P84)</f>
        <v>-78.5659362523191</v>
      </c>
      <c r="R85" s="42" t="n">
        <f aca="false">SUM(E85:H85)</f>
        <v>-3010.3</v>
      </c>
      <c r="S85" s="56" t="n">
        <f aca="false">SUM(I85:L85)</f>
        <v>-1018.36468089054</v>
      </c>
      <c r="T85" s="56" t="n">
        <f aca="false">SUM(M85:P85)</f>
        <v>-316.868568756957</v>
      </c>
      <c r="U85" s="56" t="n">
        <f aca="false">SUM(U82:U84)</f>
        <v>-312.719266980334</v>
      </c>
      <c r="V85" s="56" t="n">
        <f aca="false">SUM(V82:V84)</f>
        <v>-308.11503135157</v>
      </c>
    </row>
    <row r="86" customFormat="false" ht="15" hidden="false" customHeight="false" outlineLevel="0" collapsed="false">
      <c r="A86" s="4" t="s">
        <v>445</v>
      </c>
      <c r="B86" s="13" t="s">
        <v>135</v>
      </c>
      <c r="C86" s="31" t="n">
        <f aca="false">Historicals!C64/1000</f>
        <v>11.019</v>
      </c>
      <c r="D86" s="31" t="n">
        <f aca="false">Historicals!D64/1000</f>
        <v>-16.343</v>
      </c>
      <c r="E86" s="31" t="n">
        <f aca="false">Historicals!E64/1000</f>
        <v>3.299</v>
      </c>
      <c r="F86" s="31" t="n">
        <f aca="false">Historicals!F64/1000</f>
        <v>9.076</v>
      </c>
      <c r="G86" s="31" t="n">
        <f aca="false">Historicals!G64/1000</f>
        <v>-1.366</v>
      </c>
      <c r="H86" s="31" t="n">
        <f aca="false">Historicals!H64/1000</f>
        <v>2.484</v>
      </c>
      <c r="I86" s="31" t="n">
        <f aca="false">Historicals!I64/1000</f>
        <v>-7.314</v>
      </c>
      <c r="J86" s="31" t="n">
        <f aca="false">Historicals!J64/1000</f>
        <v>-3.314</v>
      </c>
      <c r="K86" s="55" t="n">
        <f aca="false">0</f>
        <v>0</v>
      </c>
      <c r="L86" s="55" t="n">
        <f aca="false">0</f>
        <v>0</v>
      </c>
      <c r="M86" s="55" t="n">
        <f aca="false">0</f>
        <v>0</v>
      </c>
      <c r="N86" s="55" t="n">
        <f aca="false">0</f>
        <v>0</v>
      </c>
      <c r="O86" s="55" t="n">
        <f aca="false">0</f>
        <v>0</v>
      </c>
      <c r="P86" s="55" t="n">
        <f aca="false">0</f>
        <v>0</v>
      </c>
      <c r="R86" s="31" t="n">
        <f aca="false">SUM(E86:H86)</f>
        <v>13.493</v>
      </c>
      <c r="S86" s="55" t="n">
        <f aca="false">SUM(I86:L86)</f>
        <v>-10.628</v>
      </c>
      <c r="T86" s="55" t="n">
        <f aca="false">SUM(M86:P86)</f>
        <v>0</v>
      </c>
      <c r="U86" s="55" t="n">
        <f aca="false">0</f>
        <v>0</v>
      </c>
      <c r="V86" s="55" t="n">
        <f aca="false">0</f>
        <v>0</v>
      </c>
    </row>
    <row r="87" customFormat="false" ht="15" hidden="false" customHeight="false" outlineLevel="0" collapsed="false">
      <c r="A87" s="3" t="s">
        <v>446</v>
      </c>
      <c r="B87" s="13" t="s">
        <v>135</v>
      </c>
      <c r="C87" s="42" t="n">
        <f aca="false">C78+C81+C85+C86</f>
        <v>406.346</v>
      </c>
      <c r="D87" s="42" t="n">
        <f aca="false">D78+D81+D85+D86</f>
        <v>-666.093</v>
      </c>
      <c r="E87" s="42" t="n">
        <f aca="false">E78+E81+E85+E86</f>
        <v>356.413</v>
      </c>
      <c r="F87" s="42" t="n">
        <f aca="false">F78+F81+F85+F86</f>
        <v>-340.919</v>
      </c>
      <c r="G87" s="42" t="n">
        <f aca="false">G78+G81+G85+G86</f>
        <v>70.22</v>
      </c>
      <c r="H87" s="42" t="n">
        <f aca="false">H78+H81+H85+H86</f>
        <v>1265.176</v>
      </c>
      <c r="I87" s="42" t="n">
        <f aca="false">I78+I81+I85+I86</f>
        <v>-1286.676</v>
      </c>
      <c r="J87" s="42" t="n">
        <f aca="false">J78+J81+J85+J86</f>
        <v>90.721</v>
      </c>
      <c r="K87" s="56" t="n">
        <f aca="false">K78+K81+K85+K86</f>
        <v>-88.8500321028138</v>
      </c>
      <c r="L87" s="56" t="n">
        <f aca="false">L78+L81+L85+L86</f>
        <v>-212.539298248646</v>
      </c>
      <c r="M87" s="56" t="n">
        <f aca="false">M78+M81+M85+M86</f>
        <v>240.595958159114</v>
      </c>
      <c r="N87" s="56" t="n">
        <f aca="false">N78+N81+N85+N86</f>
        <v>-48.640061588885</v>
      </c>
      <c r="O87" s="56" t="n">
        <f aca="false">O78+O81+O85+O86</f>
        <v>-43.3209768073125</v>
      </c>
      <c r="P87" s="56" t="n">
        <f aca="false">P78+P81+P85+P86</f>
        <v>-175.985569109206</v>
      </c>
      <c r="R87" s="42" t="n">
        <f aca="false">SUM(E87:H87)</f>
        <v>1350.89</v>
      </c>
      <c r="S87" s="56" t="n">
        <f aca="false">SUM(I87:L87)</f>
        <v>-1497.34433035146</v>
      </c>
      <c r="T87" s="56" t="n">
        <f aca="false">SUM(M87:P87)</f>
        <v>-27.3506493462901</v>
      </c>
      <c r="U87" s="56" t="n">
        <f aca="false">U78+U81+U85+U86</f>
        <v>27.9946868909747</v>
      </c>
      <c r="V87" s="56" t="n">
        <f aca="false">V78+V81+V85+V86</f>
        <v>81.0523391506436</v>
      </c>
    </row>
    <row r="88" customFormat="false" ht="15" hidden="false" customHeight="false" outlineLevel="0" collapsed="false">
      <c r="A88" s="3" t="s">
        <v>447</v>
      </c>
      <c r="B88" s="13" t="s">
        <v>135</v>
      </c>
      <c r="C88" s="42" t="n">
        <f aca="false">C78+C79</f>
        <v>300.424</v>
      </c>
      <c r="D88" s="42" t="n">
        <f aca="false">D78+D79</f>
        <v>77.039</v>
      </c>
      <c r="E88" s="42" t="n">
        <f aca="false">E78+E79</f>
        <v>111.561</v>
      </c>
      <c r="F88" s="42" t="n">
        <f aca="false">F78+F79</f>
        <v>332.371</v>
      </c>
      <c r="G88" s="42" t="n">
        <f aca="false">G78+G79</f>
        <v>-129.119</v>
      </c>
      <c r="H88" s="42" t="n">
        <f aca="false">H78+H79</f>
        <v>100.43</v>
      </c>
      <c r="I88" s="42" t="n">
        <f aca="false">I78+I79</f>
        <v>-259.813</v>
      </c>
      <c r="J88" s="42" t="n">
        <f aca="false">J78+J79</f>
        <v>155.434</v>
      </c>
      <c r="K88" s="56" t="n">
        <f aca="false">K78+K79</f>
        <v>-8.91097180596783</v>
      </c>
      <c r="L88" s="56" t="n">
        <f aca="false">L78+L79</f>
        <v>-133.017677654954</v>
      </c>
      <c r="M88" s="56" t="n">
        <f aca="false">M78+M79</f>
        <v>320.464306285273</v>
      </c>
      <c r="N88" s="56" t="n">
        <f aca="false">N78+N79</f>
        <v>30.7941492459944</v>
      </c>
      <c r="O88" s="56" t="n">
        <f aca="false">O78+O79</f>
        <v>35.6790967362867</v>
      </c>
      <c r="P88" s="56" t="n">
        <f aca="false">P78+P79</f>
        <v>-97.419632856887</v>
      </c>
      <c r="R88" s="42" t="n">
        <f aca="false">SUM(E88:H88)</f>
        <v>415.243</v>
      </c>
      <c r="S88" s="56" t="n">
        <f aca="false">SUM(I88:L88)</f>
        <v>-246.307649460922</v>
      </c>
      <c r="T88" s="56" t="n">
        <f aca="false">SUM(M88:P88)</f>
        <v>289.517919410667</v>
      </c>
      <c r="U88" s="56" t="n">
        <f aca="false">U78+U79</f>
        <v>340.713953871309</v>
      </c>
      <c r="V88" s="56" t="n">
        <f aca="false">V78+V79</f>
        <v>389.167370502213</v>
      </c>
    </row>
    <row r="90" customFormat="false" ht="15" hidden="false" customHeight="false" outlineLevel="0" collapsed="false">
      <c r="A90" s="16" t="s">
        <v>448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R90" s="17"/>
      <c r="S90" s="17"/>
      <c r="T90" s="17"/>
      <c r="U90" s="17"/>
      <c r="V90" s="17"/>
    </row>
    <row r="91" customFormat="false" ht="15" hidden="false" customHeight="false" outlineLevel="0" collapsed="false">
      <c r="A91" s="4" t="s">
        <v>449</v>
      </c>
      <c r="B91" s="13" t="s">
        <v>135</v>
      </c>
      <c r="R91" s="31" t="n">
        <f aca="false">R33*(1-Inputs!$E$29)</f>
        <v>297.70895</v>
      </c>
      <c r="S91" s="55" t="n">
        <f aca="false">S33*(1-Inputs!$E$29)</f>
        <v>63.0416569006493</v>
      </c>
      <c r="T91" s="55" t="n">
        <f aca="false">T33*(1-Inputs!$E$29)</f>
        <v>205.452371400303</v>
      </c>
      <c r="U91" s="55" t="n">
        <f aca="false">U33*(1-Inputs!$E$29)</f>
        <v>271.109679081148</v>
      </c>
      <c r="V91" s="55" t="n">
        <f aca="false">V33*(1-Inputs!$E$29)</f>
        <v>318.211208497835</v>
      </c>
    </row>
    <row r="92" customFormat="false" ht="15" hidden="false" customHeight="false" outlineLevel="0" collapsed="false">
      <c r="A92" s="4" t="s">
        <v>450</v>
      </c>
      <c r="B92" s="13" t="s">
        <v>135</v>
      </c>
      <c r="C92" s="31" t="n">
        <f aca="false">C66+C64-C56</f>
        <v>9010.345</v>
      </c>
      <c r="D92" s="31" t="n">
        <f aca="false">D66+D64-D56</f>
        <v>8566.712</v>
      </c>
      <c r="E92" s="31" t="n">
        <f aca="false">E66+E64-E56</f>
        <v>8571.62</v>
      </c>
      <c r="F92" s="31" t="n">
        <f aca="false">F66+F64-F56</f>
        <v>8668.322</v>
      </c>
      <c r="G92" s="31" t="n">
        <f aca="false">G66+G64-G56</f>
        <v>7189.299</v>
      </c>
      <c r="H92" s="31" t="n">
        <f aca="false">H66+H64-H56</f>
        <v>3312.218</v>
      </c>
      <c r="I92" s="31" t="n">
        <f aca="false">I66+I64-I56</f>
        <v>3655.505</v>
      </c>
      <c r="J92" s="31" t="n">
        <f aca="false">J66+J64-J56</f>
        <v>3729.105</v>
      </c>
      <c r="K92" s="55" t="n">
        <f aca="false">K66+K64-K56</f>
        <v>3817.06693352864</v>
      </c>
      <c r="L92" s="55" t="n">
        <f aca="false">L66+L64-L56</f>
        <v>3902.25322636157</v>
      </c>
      <c r="M92" s="55" t="n">
        <f aca="false">M66+M64-M56</f>
        <v>3677.02026961931</v>
      </c>
      <c r="N92" s="55" t="n">
        <f aca="false">N66+N64-N56</f>
        <v>3780.1565740432</v>
      </c>
      <c r="O92" s="55" t="n">
        <f aca="false">O66+O64-O56</f>
        <v>3845.44470579448</v>
      </c>
      <c r="P92" s="55" t="n">
        <f aca="false">P66+P64-P56</f>
        <v>3907.77967835121</v>
      </c>
      <c r="R92" s="31" t="n">
        <f aca="false">R66+R64-R56</f>
        <v>3312.218</v>
      </c>
      <c r="S92" s="55" t="n">
        <f aca="false">S66+S64-S56</f>
        <v>3902.25322636157</v>
      </c>
      <c r="T92" s="55" t="n">
        <f aca="false">T66+T64-T56</f>
        <v>3907.77967835121</v>
      </c>
      <c r="U92" s="55" t="n">
        <f aca="false">U66+U64-U56</f>
        <v>3927.76740356105</v>
      </c>
      <c r="V92" s="55" t="n">
        <f aca="false">V66+V64-V56</f>
        <v>3946.40324155667</v>
      </c>
    </row>
    <row r="93" customFormat="false" ht="15" hidden="false" customHeight="false" outlineLevel="0" collapsed="false">
      <c r="A93" s="4" t="s">
        <v>451</v>
      </c>
      <c r="B93" s="13" t="s">
        <v>73</v>
      </c>
      <c r="R93" s="30" t="n">
        <f aca="false">R91/AVERAGE(D92,R92)</f>
        <v>0.0501238663751701</v>
      </c>
      <c r="S93" s="51" t="n">
        <f aca="false">S91/AVERAGE(R92,S92)</f>
        <v>0.0174764455835089</v>
      </c>
      <c r="T93" s="51" t="n">
        <f aca="false">T91/AVERAGE(S92,T92)</f>
        <v>0.0526124214601778</v>
      </c>
      <c r="U93" s="51" t="n">
        <f aca="false">U91/AVERAGE(T92,U92)</f>
        <v>0.0691999362002388</v>
      </c>
      <c r="V93" s="51" t="n">
        <f aca="false">V91/AVERAGE(U92,V92)</f>
        <v>0.0808240569932626</v>
      </c>
    </row>
    <row r="94" customFormat="false" ht="15" hidden="false" customHeight="false" outlineLevel="0" collapsed="false">
      <c r="A94" s="4" t="s">
        <v>452</v>
      </c>
      <c r="B94" s="13" t="s">
        <v>135</v>
      </c>
      <c r="R94" s="31" t="n">
        <f aca="false">R26*(1-Inputs!$E$29)</f>
        <v>-22.1221000000001</v>
      </c>
      <c r="S94" s="55" t="n">
        <f aca="false">S26*(1-Inputs!$E$29)</f>
        <v>66.8916569006493</v>
      </c>
      <c r="T94" s="55" t="n">
        <f aca="false">T26*(1-Inputs!$E$29)</f>
        <v>190.052371400303</v>
      </c>
      <c r="U94" s="55" t="n">
        <f aca="false">U26*(1-Inputs!$E$29)</f>
        <v>236.459679081148</v>
      </c>
      <c r="V94" s="55" t="n">
        <f aca="false">V26*(1-Inputs!$E$29)</f>
        <v>272.011208497835</v>
      </c>
    </row>
    <row r="95" customFormat="false" ht="15" hidden="false" customHeight="false" outlineLevel="0" collapsed="false">
      <c r="A95" s="4" t="s">
        <v>453</v>
      </c>
      <c r="B95" s="13" t="s">
        <v>135</v>
      </c>
      <c r="C95" s="31" t="n">
        <f aca="false">C57+C59+C61-C63</f>
        <v>1694.481</v>
      </c>
      <c r="D95" s="31" t="n">
        <f aca="false">D57+D59+D61-D63</f>
        <v>1715.574</v>
      </c>
      <c r="E95" s="31" t="n">
        <f aca="false">E57+E59+E61-E63</f>
        <v>1541.978</v>
      </c>
      <c r="F95" s="31" t="n">
        <f aca="false">F57+F59+F61-F63</f>
        <v>1618.901</v>
      </c>
      <c r="G95" s="31" t="n">
        <f aca="false">G57+G59+G61-G63</f>
        <v>1506.527</v>
      </c>
      <c r="H95" s="31" t="n">
        <f aca="false">H57+H59+H61-H63</f>
        <v>1634.27</v>
      </c>
      <c r="I95" s="31" t="n">
        <f aca="false">I57+I59+I61-I63</f>
        <v>1351.335</v>
      </c>
      <c r="J95" s="31" t="n">
        <f aca="false">J57+J59+J61-J63</f>
        <v>1421.056</v>
      </c>
      <c r="K95" s="55" t="n">
        <f aca="false">K57+K59+K61-K63</f>
        <v>1509.01793352864</v>
      </c>
      <c r="L95" s="55" t="n">
        <f aca="false">L57+L59+L61-L63</f>
        <v>1594.20422636157</v>
      </c>
      <c r="M95" s="55" t="n">
        <f aca="false">M57+M59+M61-M63</f>
        <v>1368.97126961932</v>
      </c>
      <c r="N95" s="55" t="n">
        <f aca="false">N57+N59+N61-N63</f>
        <v>1472.1075740432</v>
      </c>
      <c r="O95" s="55" t="n">
        <f aca="false">O57+O59+O61-O63</f>
        <v>1537.39570579448</v>
      </c>
      <c r="P95" s="55" t="n">
        <f aca="false">P57+P59+P61-P63</f>
        <v>1599.73067835121</v>
      </c>
      <c r="R95" s="31" t="n">
        <f aca="false">R57+R59+R61-R63</f>
        <v>1634.27</v>
      </c>
      <c r="S95" s="55" t="n">
        <f aca="false">S57+S59+S61-S63</f>
        <v>1594.20422636157</v>
      </c>
      <c r="T95" s="55" t="n">
        <f aca="false">T57+T59+T61-T63</f>
        <v>1599.73067835121</v>
      </c>
      <c r="U95" s="55" t="n">
        <f aca="false">U57+U59+U61-U63</f>
        <v>1619.71840356105</v>
      </c>
      <c r="V95" s="55" t="n">
        <f aca="false">V57+V59+V61-V63</f>
        <v>1638.35424155667</v>
      </c>
    </row>
    <row r="96" customFormat="false" ht="15" hidden="false" customHeight="false" outlineLevel="0" collapsed="false">
      <c r="A96" s="4" t="s">
        <v>454</v>
      </c>
      <c r="B96" s="13" t="s">
        <v>73</v>
      </c>
      <c r="R96" s="30" t="n">
        <f aca="false">R94/R95</f>
        <v>-0.0135363801575016</v>
      </c>
      <c r="S96" s="51" t="n">
        <f aca="false">S94/S95</f>
        <v>0.0419592771079996</v>
      </c>
      <c r="T96" s="51" t="n">
        <f aca="false">T94/T95</f>
        <v>0.118802729717095</v>
      </c>
      <c r="U96" s="51" t="n">
        <f aca="false">U94/U95</f>
        <v>0.145988141248057</v>
      </c>
      <c r="V96" s="51" t="n">
        <f aca="false">V94/V95</f>
        <v>0.166027103051527</v>
      </c>
    </row>
    <row r="97" customFormat="false" ht="15" hidden="false" customHeight="false" outlineLevel="0" collapsed="false">
      <c r="A97" s="4" t="s">
        <v>455</v>
      </c>
      <c r="B97" s="13" t="s">
        <v>73</v>
      </c>
      <c r="S97" s="51" t="n">
        <f aca="false">S41/AVERAGE(R66,S66)</f>
        <v>0.0389015181792394</v>
      </c>
      <c r="T97" s="51" t="n">
        <f aca="false">T41/AVERAGE(S66,T66)</f>
        <v>0.0879429538392203</v>
      </c>
      <c r="U97" s="51" t="n">
        <f aca="false">U41/AVERAGE(T66,U66)</f>
        <v>0.109266789019146</v>
      </c>
      <c r="V97" s="51" t="n">
        <f aca="false">V41/AVERAGE(U66,V66)</f>
        <v>0.12184399147817</v>
      </c>
    </row>
    <row r="99" customFormat="false" ht="15" hidden="false" customHeight="false" outlineLevel="0" collapsed="false">
      <c r="A99" s="16" t="s">
        <v>317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R99" s="17"/>
      <c r="S99" s="17"/>
      <c r="T99" s="17"/>
      <c r="U99" s="17"/>
      <c r="V99" s="17"/>
    </row>
    <row r="100" customFormat="false" ht="15" hidden="false" customHeight="false" outlineLevel="0" collapsed="false">
      <c r="A100" s="4" t="s">
        <v>456</v>
      </c>
      <c r="B100" s="13" t="s">
        <v>135</v>
      </c>
      <c r="S100" s="50"/>
      <c r="T100" s="55" t="n">
        <f aca="false">T49</f>
        <v>363.821261558835</v>
      </c>
      <c r="U100" s="50"/>
      <c r="V100" s="50"/>
    </row>
    <row r="101" customFormat="false" ht="15" hidden="false" customHeight="false" outlineLevel="0" collapsed="false">
      <c r="A101" s="4" t="s">
        <v>368</v>
      </c>
      <c r="B101" s="13" t="s">
        <v>138</v>
      </c>
      <c r="S101" s="50"/>
      <c r="T101" s="66" t="n">
        <f aca="false">Inputs!$F$93</f>
        <v>8</v>
      </c>
      <c r="U101" s="50"/>
      <c r="V101" s="50"/>
    </row>
    <row r="102" customFormat="false" ht="15" hidden="false" customHeight="false" outlineLevel="0" collapsed="false">
      <c r="A102" s="4" t="s">
        <v>457</v>
      </c>
      <c r="B102" s="13" t="s">
        <v>135</v>
      </c>
      <c r="S102" s="50"/>
      <c r="T102" s="55" t="n">
        <f aca="false">MAX(0,T100*T101)</f>
        <v>2910.57009247068</v>
      </c>
      <c r="U102" s="50"/>
      <c r="V102" s="50"/>
    </row>
    <row r="103" customFormat="false" ht="15" hidden="false" customHeight="false" outlineLevel="0" collapsed="false">
      <c r="A103" s="4" t="s">
        <v>458</v>
      </c>
      <c r="B103" s="13" t="s">
        <v>135</v>
      </c>
      <c r="S103" s="50"/>
      <c r="T103" s="55" t="n">
        <f aca="false">T31*(1-Inputs!$E$29)</f>
        <v>57.75</v>
      </c>
      <c r="U103" s="50"/>
      <c r="V103" s="50"/>
    </row>
    <row r="104" customFormat="false" ht="15" hidden="false" customHeight="false" outlineLevel="0" collapsed="false">
      <c r="A104" s="4" t="s">
        <v>459</v>
      </c>
      <c r="B104" s="13" t="s">
        <v>135</v>
      </c>
      <c r="S104" s="50"/>
      <c r="T104" s="55" t="n">
        <f aca="false">T103*Inputs!$F$94</f>
        <v>635.25</v>
      </c>
      <c r="U104" s="50"/>
      <c r="V104" s="50"/>
    </row>
    <row r="105" customFormat="false" ht="15" hidden="false" customHeight="false" outlineLevel="0" collapsed="false">
      <c r="A105" s="4" t="s">
        <v>460</v>
      </c>
      <c r="B105" s="13" t="s">
        <v>135</v>
      </c>
      <c r="S105" s="50"/>
      <c r="T105" s="55" t="n">
        <f aca="false">Inputs!$E$49</f>
        <v>50</v>
      </c>
      <c r="U105" s="50"/>
      <c r="V105" s="50"/>
    </row>
    <row r="106" customFormat="false" ht="15" hidden="false" customHeight="false" outlineLevel="0" collapsed="false">
      <c r="A106" s="4" t="s">
        <v>461</v>
      </c>
      <c r="B106" s="13" t="s">
        <v>135</v>
      </c>
      <c r="S106" s="50"/>
      <c r="T106" s="55" t="n">
        <f aca="false">Inputs!$E$48</f>
        <v>985.958</v>
      </c>
      <c r="U106" s="50"/>
      <c r="V106" s="50"/>
    </row>
    <row r="107" customFormat="false" ht="15" hidden="false" customHeight="false" outlineLevel="0" collapsed="false">
      <c r="A107" s="3" t="s">
        <v>462</v>
      </c>
      <c r="B107" s="13" t="s">
        <v>135</v>
      </c>
      <c r="S107" s="50"/>
      <c r="T107" s="56" t="n">
        <f aca="false">T102+T104+T105+T106</f>
        <v>4581.77809247068</v>
      </c>
      <c r="U107" s="50"/>
      <c r="V107" s="50"/>
    </row>
    <row r="108" customFormat="false" ht="15" hidden="false" customHeight="false" outlineLevel="0" collapsed="false">
      <c r="A108" s="3" t="s">
        <v>463</v>
      </c>
      <c r="B108" s="13" t="s">
        <v>59</v>
      </c>
      <c r="S108" s="50"/>
      <c r="T108" s="59" t="n">
        <f aca="false">T107/Inputs!$E$50</f>
        <v>43.6359818330541</v>
      </c>
      <c r="U108" s="50"/>
      <c r="V108" s="50"/>
    </row>
    <row r="109" customFormat="false" ht="15" hidden="false" customHeight="false" outlineLevel="0" collapsed="false">
      <c r="A109" s="4" t="s">
        <v>464</v>
      </c>
      <c r="B109" s="13" t="s">
        <v>135</v>
      </c>
      <c r="S109" s="55" t="n">
        <f aca="false">(S26+S29)*(1-Inputs!$E$29)+S48+S79+S74+S75+S76</f>
        <v>-118.150569460922</v>
      </c>
      <c r="T109" s="55" t="n">
        <f aca="false">(T26+T29)*(1-Inputs!$E$29)+T48+T79+T74+T75+T76</f>
        <v>142.175919410667</v>
      </c>
      <c r="U109" s="55" t="n">
        <f aca="false">(U26+U29)*(1-Inputs!$E$29)+U48+U79+U74+U75+U76</f>
        <v>185.671953871309</v>
      </c>
      <c r="V109" s="55" t="n">
        <f aca="false">(V26+V29)*(1-Inputs!$E$29)+V48+V79+V74+V75+V76</f>
        <v>230.275370502213</v>
      </c>
    </row>
    <row r="110" customFormat="false" ht="15" hidden="false" customHeight="false" outlineLevel="0" collapsed="false">
      <c r="A110" s="4" t="s">
        <v>465</v>
      </c>
      <c r="B110" s="13" t="s">
        <v>200</v>
      </c>
      <c r="S110" s="50"/>
      <c r="T110" s="67" t="n">
        <f aca="false">Inputs!$E$51</f>
        <v>0.75</v>
      </c>
      <c r="U110" s="67" t="n">
        <f aca="false">Inputs!$E$51+1</f>
        <v>1.75</v>
      </c>
      <c r="V110" s="67" t="n">
        <f aca="false">Inputs!$E$51+2</f>
        <v>2.75</v>
      </c>
    </row>
    <row r="111" customFormat="false" ht="15" hidden="false" customHeight="false" outlineLevel="0" collapsed="false">
      <c r="A111" s="4" t="s">
        <v>466</v>
      </c>
      <c r="B111" s="13" t="s">
        <v>135</v>
      </c>
      <c r="S111" s="50"/>
      <c r="T111" s="55" t="n">
        <f aca="false">T109/(1+Inputs!$F$95)^T110</f>
        <v>132.820605575769</v>
      </c>
      <c r="U111" s="55" t="n">
        <f aca="false">U109/(1+Inputs!$F$95)^U110</f>
        <v>158.405989632058</v>
      </c>
      <c r="V111" s="55" t="n">
        <f aca="false">V109/(1+Inputs!$F$95)^V110</f>
        <v>179.414963878494</v>
      </c>
    </row>
    <row r="112" customFormat="false" ht="15" hidden="false" customHeight="false" outlineLevel="0" collapsed="false">
      <c r="A112" s="4" t="s">
        <v>467</v>
      </c>
      <c r="B112" s="13" t="s">
        <v>135</v>
      </c>
      <c r="S112" s="50"/>
      <c r="T112" s="50"/>
      <c r="U112" s="50"/>
      <c r="V112" s="55" t="n">
        <f aca="false">MAX(0,V109)*(1+Inputs!$F$96)/(Inputs!$F$95-Inputs!$F$96)</f>
        <v>3131.7450388301</v>
      </c>
    </row>
    <row r="113" customFormat="false" ht="15" hidden="false" customHeight="false" outlineLevel="0" collapsed="false">
      <c r="A113" s="4" t="s">
        <v>468</v>
      </c>
      <c r="B113" s="13" t="s">
        <v>135</v>
      </c>
      <c r="S113" s="50"/>
      <c r="T113" s="50"/>
      <c r="U113" s="50"/>
      <c r="V113" s="55" t="n">
        <f aca="false">V112/(1+Inputs!$F$95)^(V110+Inputs!$E$52)</f>
        <v>2331.79577349682</v>
      </c>
    </row>
    <row r="114" customFormat="false" ht="15" hidden="false" customHeight="false" outlineLevel="0" collapsed="false">
      <c r="A114" s="4" t="s">
        <v>469</v>
      </c>
      <c r="B114" s="13" t="s">
        <v>135</v>
      </c>
      <c r="S114" s="50"/>
      <c r="T114" s="55" t="n">
        <f aca="false">IF(Inputs!$E$53=1,MAX(0,SUM(T111:V111)+V113),SUM(T111:V111)+V113)</f>
        <v>2802.43733258314</v>
      </c>
      <c r="U114" s="50"/>
      <c r="V114" s="50"/>
    </row>
    <row r="115" customFormat="false" ht="15" hidden="false" customHeight="false" outlineLevel="0" collapsed="false">
      <c r="A115" s="3" t="s">
        <v>470</v>
      </c>
      <c r="B115" s="13" t="s">
        <v>135</v>
      </c>
      <c r="S115" s="50"/>
      <c r="T115" s="56" t="n">
        <f aca="false">T114+T104+T105+T106</f>
        <v>4473.64533258314</v>
      </c>
      <c r="U115" s="50"/>
      <c r="V115" s="50"/>
    </row>
    <row r="116" customFormat="false" ht="15" hidden="false" customHeight="false" outlineLevel="0" collapsed="false">
      <c r="A116" s="3" t="s">
        <v>471</v>
      </c>
      <c r="B116" s="13" t="s">
        <v>59</v>
      </c>
      <c r="S116" s="50"/>
      <c r="T116" s="59" t="n">
        <f aca="false">T115/Inputs!$E$50</f>
        <v>42.6061460246014</v>
      </c>
      <c r="U116" s="50"/>
      <c r="V116" s="50"/>
    </row>
    <row r="117" customFormat="false" ht="15" hidden="false" customHeight="false" outlineLevel="0" collapsed="false">
      <c r="A117" s="3" t="s">
        <v>339</v>
      </c>
      <c r="B117" s="13" t="s">
        <v>59</v>
      </c>
      <c r="S117" s="50"/>
      <c r="T117" s="59" t="n">
        <f aca="false">Inputs!$F$97*T116+(1-Inputs!$F$97)*T108</f>
        <v>43.1210639288277</v>
      </c>
      <c r="U117" s="50"/>
      <c r="V117" s="50"/>
    </row>
    <row r="118" customFormat="false" ht="15" hidden="false" customHeight="false" outlineLevel="0" collapsed="false">
      <c r="A118" s="3" t="s">
        <v>340</v>
      </c>
      <c r="B118" s="13" t="s">
        <v>73</v>
      </c>
      <c r="S118" s="50"/>
      <c r="T118" s="68" t="n">
        <f aca="false">T117/Inputs!$E$5-1</f>
        <v>0.60003947787858</v>
      </c>
      <c r="U118" s="50"/>
      <c r="V118" s="50"/>
    </row>
    <row r="119" customFormat="false" ht="15" hidden="false" customHeight="false" outlineLevel="0" collapsed="false">
      <c r="A119" s="4" t="s">
        <v>472</v>
      </c>
      <c r="B119" s="13" t="s">
        <v>138</v>
      </c>
      <c r="S119" s="50"/>
      <c r="T119" s="66" t="n">
        <f aca="false">IF(T43&gt;0,T117/T43,"n.m.")</f>
        <v>16.2324231299071</v>
      </c>
      <c r="U119" s="50"/>
      <c r="V119" s="50"/>
    </row>
    <row r="120" customFormat="false" ht="15" hidden="false" customHeight="false" outlineLevel="0" collapsed="false">
      <c r="A120" s="4" t="s">
        <v>473</v>
      </c>
      <c r="B120" s="13" t="s">
        <v>138</v>
      </c>
      <c r="S120" s="50"/>
      <c r="T120" s="66" t="n">
        <f aca="false">T117*Inputs!$E$50/T66</f>
        <v>1.52656183223039</v>
      </c>
      <c r="U120" s="50"/>
      <c r="V120" s="5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0"/>
  </cols>
  <sheetData>
    <row r="1" customFormat="false" ht="15" hidden="false" customHeight="false" outlineLevel="0" collapsed="false">
      <c r="A1" s="12" t="s">
        <v>476</v>
      </c>
    </row>
    <row r="3" customFormat="false" ht="15" hidden="false" customHeight="false" outlineLevel="0" collapsed="false">
      <c r="A3" s="3" t="s">
        <v>477</v>
      </c>
    </row>
    <row r="4" customFormat="false" ht="15" hidden="false" customHeight="false" outlineLevel="0" collapsed="false"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H4" s="14" t="s">
        <v>35</v>
      </c>
      <c r="I4" s="14" t="s">
        <v>36</v>
      </c>
    </row>
    <row r="5" customFormat="false" ht="15" hidden="false" customHeight="false" outlineLevel="0" collapsed="false">
      <c r="A5" s="4" t="s">
        <v>478</v>
      </c>
      <c r="B5" s="30" t="n">
        <f aca="false">Base!C10</f>
        <v>0</v>
      </c>
      <c r="C5" s="30" t="n">
        <f aca="false">Base!D10</f>
        <v>0</v>
      </c>
      <c r="D5" s="30" t="n">
        <f aca="false">Base!E10</f>
        <v>0</v>
      </c>
      <c r="E5" s="30" t="n">
        <f aca="false">Base!F10</f>
        <v>0</v>
      </c>
      <c r="F5" s="30" t="n">
        <f aca="false">Base!G10</f>
        <v>0.327180232558139</v>
      </c>
      <c r="G5" s="30" t="n">
        <f aca="false">Base!H10</f>
        <v>-0.0353319057815846</v>
      </c>
      <c r="H5" s="30" t="n">
        <f aca="false">Base!I10</f>
        <v>-0.0338333203803011</v>
      </c>
      <c r="I5" s="30" t="n">
        <f aca="false">Base!J10</f>
        <v>0.0940926974914196</v>
      </c>
    </row>
    <row r="6" customFormat="false" ht="15" hidden="false" customHeight="false" outlineLevel="0" collapsed="false">
      <c r="A6" s="4" t="s">
        <v>479</v>
      </c>
      <c r="B6" s="30" t="n">
        <f aca="false">Base!C8</f>
        <v>0</v>
      </c>
      <c r="C6" s="30" t="n">
        <f aca="false">Base!D8</f>
        <v>0</v>
      </c>
      <c r="D6" s="30" t="n">
        <f aca="false">Base!E8</f>
        <v>0</v>
      </c>
      <c r="E6" s="30" t="n">
        <f aca="false">Base!F8</f>
        <v>0</v>
      </c>
      <c r="F6" s="30" t="n">
        <f aca="false">Base!G8</f>
        <v>-0.0603329093623846</v>
      </c>
      <c r="G6" s="30" t="n">
        <f aca="false">Base!H8</f>
        <v>-0.0145362431800468</v>
      </c>
      <c r="H6" s="30" t="n">
        <f aca="false">Base!I8</f>
        <v>0.0805224121251209</v>
      </c>
      <c r="I6" s="30" t="n">
        <f aca="false">Base!J8</f>
        <v>0.00504094286931411</v>
      </c>
    </row>
    <row r="7" customFormat="false" ht="15" hidden="false" customHeight="false" outlineLevel="0" collapsed="false">
      <c r="A7" s="4" t="s">
        <v>480</v>
      </c>
      <c r="B7" s="21" t="n">
        <f aca="false">Base!C11</f>
        <v>-8646</v>
      </c>
      <c r="C7" s="21" t="n">
        <f aca="false">Base!D11</f>
        <v>-11650</v>
      </c>
      <c r="D7" s="21" t="n">
        <f aca="false">Base!E11</f>
        <v>7591</v>
      </c>
      <c r="E7" s="21" t="n">
        <f aca="false">Base!F11</f>
        <v>-6417</v>
      </c>
      <c r="F7" s="21" t="n">
        <f aca="false">Base!G11</f>
        <v>2540</v>
      </c>
      <c r="G7" s="21" t="n">
        <f aca="false">Base!H11</f>
        <v>-11772</v>
      </c>
      <c r="H7" s="21" t="n">
        <f aca="false">Base!I11</f>
        <v>3788</v>
      </c>
      <c r="I7" s="21" t="n">
        <f aca="false">Base!J11</f>
        <v>-3258</v>
      </c>
    </row>
    <row r="8" customFormat="false" ht="15" hidden="false" customHeight="false" outlineLevel="0" collapsed="false">
      <c r="A8" s="4" t="s">
        <v>481</v>
      </c>
      <c r="B8" s="30" t="n">
        <f aca="false">Base!C12</f>
        <v>0</v>
      </c>
      <c r="C8" s="30" t="n">
        <f aca="false">Base!D12</f>
        <v>0</v>
      </c>
      <c r="D8" s="30" t="n">
        <f aca="false">Base!E12</f>
        <v>0</v>
      </c>
      <c r="E8" s="30" t="n">
        <f aca="false">Base!F12</f>
        <v>0</v>
      </c>
      <c r="F8" s="30" t="n">
        <f aca="false">Base!G12</f>
        <v>-0.13</v>
      </c>
      <c r="G8" s="30" t="n">
        <f aca="false">Base!H12</f>
        <v>-0.17</v>
      </c>
      <c r="H8" s="30" t="n">
        <f aca="false">Base!I12</f>
        <v>-0.22</v>
      </c>
      <c r="I8" s="30" t="n">
        <f aca="false">Base!J12</f>
        <v>-0.17</v>
      </c>
    </row>
    <row r="9" customFormat="false" ht="15" hidden="false" customHeight="false" outlineLevel="0" collapsed="false">
      <c r="A9" s="4" t="s">
        <v>403</v>
      </c>
      <c r="B9" s="30" t="n">
        <f aca="false">Base!C24</f>
        <v>0.301017223772114</v>
      </c>
      <c r="C9" s="30" t="n">
        <f aca="false">Base!D24</f>
        <v>-0.0075388416819465</v>
      </c>
      <c r="D9" s="30" t="n">
        <f aca="false">Base!E24</f>
        <v>0.291486400895049</v>
      </c>
      <c r="E9" s="30" t="n">
        <f aca="false">Base!F24</f>
        <v>0.286212126874074</v>
      </c>
      <c r="F9" s="30" t="n">
        <f aca="false">Base!G24</f>
        <v>0.263613415409713</v>
      </c>
      <c r="G9" s="30" t="n">
        <f aca="false">Base!H24</f>
        <v>-0.0803465235564815</v>
      </c>
      <c r="H9" s="30" t="n">
        <f aca="false">Base!I24</f>
        <v>0.252957210572342</v>
      </c>
      <c r="I9" s="30" t="n">
        <f aca="false">Base!J24</f>
        <v>0.275406599775419</v>
      </c>
    </row>
    <row r="10" customFormat="false" ht="15" hidden="false" customHeight="false" outlineLevel="0" collapsed="false">
      <c r="A10" s="4" t="s">
        <v>395</v>
      </c>
      <c r="B10" s="30" t="n">
        <f aca="false">Base!C13</f>
        <v>0.0643168604651163</v>
      </c>
      <c r="C10" s="30" t="n">
        <f aca="false">Base!D13</f>
        <v>0.107637401855817</v>
      </c>
      <c r="D10" s="30" t="n">
        <f aca="false">Base!E13</f>
        <v>0.0546099841973006</v>
      </c>
      <c r="E10" s="30" t="n">
        <f aca="false">Base!F13</f>
        <v>0.088958339146692</v>
      </c>
      <c r="F10" s="30" t="n">
        <f aca="false">Base!G13</f>
        <v>0.071952688643084</v>
      </c>
      <c r="G10" s="30" t="n">
        <f aca="false">Base!H13</f>
        <v>0.126822049574547</v>
      </c>
      <c r="H10" s="30" t="n">
        <f aca="false">Base!I13</f>
        <v>0.100040219868615</v>
      </c>
      <c r="I10" s="30" t="n">
        <f aca="false">Base!J13</f>
        <v>0.117753576984876</v>
      </c>
    </row>
    <row r="11" customFormat="false" ht="15" hidden="false" customHeight="false" outlineLevel="0" collapsed="false">
      <c r="A11" s="4" t="s">
        <v>482</v>
      </c>
      <c r="B11" s="31" t="n">
        <f aca="false">Base!C21</f>
        <v>876.405</v>
      </c>
      <c r="C11" s="31" t="n">
        <f aca="false">Base!D21</f>
        <v>420.489</v>
      </c>
      <c r="D11" s="31" t="n">
        <f aca="false">Base!E21</f>
        <v>1081.505</v>
      </c>
      <c r="E11" s="31" t="n">
        <f aca="false">Base!F21</f>
        <v>1043.649</v>
      </c>
      <c r="F11" s="31" t="n">
        <f aca="false">Base!G21</f>
        <v>1073.959</v>
      </c>
      <c r="G11" s="31" t="n">
        <f aca="false">Base!H21</f>
        <v>379.195</v>
      </c>
      <c r="H11" s="31" t="n">
        <f aca="false">Base!I21</f>
        <v>1055.471</v>
      </c>
      <c r="I11" s="31" t="n">
        <f aca="false">Base!J21</f>
        <v>1104.28</v>
      </c>
    </row>
    <row r="12" customFormat="false" ht="15" hidden="false" customHeight="false" outlineLevel="0" collapsed="false">
      <c r="A12" s="4" t="s">
        <v>483</v>
      </c>
      <c r="B12" s="31" t="n">
        <f aca="false">Base!C23</f>
        <v>263.813</v>
      </c>
      <c r="C12" s="31" t="n">
        <f aca="false">Base!D23</f>
        <v>-3.17</v>
      </c>
      <c r="D12" s="31" t="n">
        <f aca="false">Base!E23</f>
        <v>315.244</v>
      </c>
      <c r="E12" s="31" t="n">
        <f aca="false">Base!F23</f>
        <v>298.705</v>
      </c>
      <c r="F12" s="31" t="n">
        <f aca="false">Base!G23</f>
        <v>283.11</v>
      </c>
      <c r="G12" s="31" t="n">
        <f aca="false">Base!H23</f>
        <v>-30.467</v>
      </c>
      <c r="H12" s="31" t="n">
        <f aca="false">Base!I23</f>
        <v>266.989</v>
      </c>
      <c r="I12" s="31" t="n">
        <f aca="false">Base!J23</f>
        <v>304.126</v>
      </c>
    </row>
    <row r="14" customFormat="false" ht="15" hidden="false" customHeight="false" outlineLevel="0" collapsed="false">
      <c r="A14" s="3" t="s">
        <v>484</v>
      </c>
    </row>
    <row r="15" customFormat="false" ht="15" hidden="false" customHeight="false" outlineLevel="0" collapsed="false">
      <c r="A15" s="4" t="s">
        <v>485</v>
      </c>
      <c r="B15" s="41" t="n">
        <f aca="false">Inputs!$E$57</f>
        <v>0.46742843879358</v>
      </c>
    </row>
    <row r="16" customFormat="false" ht="15" hidden="false" customHeight="false" outlineLevel="0" collapsed="false">
      <c r="A16" s="4" t="s">
        <v>486</v>
      </c>
      <c r="B16" s="69" t="n">
        <f aca="false">Inputs!$E$58</f>
        <v>207.404160012575</v>
      </c>
    </row>
    <row r="17" customFormat="false" ht="15" hidden="false" customHeight="false" outlineLevel="0" collapsed="false">
      <c r="A17" s="4" t="s">
        <v>487</v>
      </c>
      <c r="B17" s="70" t="n">
        <f aca="false">Inputs!$E$59</f>
        <v>0.987180307302356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2026-10-07T23:02:36Z</dcterms:created>
  <dc:creator>openpyxl</dc:creator>
  <dc:description/>
  <dc:language>en-US</dc:language>
  <cp:lastModifiedBy/>
  <dcterms:modified xsi:type="dcterms:W3CDTF">2026-10-07T23:02:36Z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