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aler_Inventory" sheetId="2" state="visible" r:id="rId4"/>
    <sheet name="Google_Trends" sheetId="3" state="visible" r:id="rId5"/>
    <sheet name="State_Tre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<sst xmlns="http://schemas.openxmlformats.org/spreadsheetml/2006/main" count="190" uniqueCount="164">
  <si>
    <t xml:space="preserve">HOG alternative data - dealer inventory &amp; search interest</t>
  </si>
  <si>
    <t xml:space="preserve">Captured 2026-10-06 via a browser session (Harley-Davidson.com public dealer-inventory search API; Google Trends API).</t>
  </si>
  <si>
    <t xml:space="preserve">Blue = collected raw data; black = formulas. Re-run hog_dealer_inventory_scraper.py weekly to build a time series.</t>
  </si>
  <si>
    <t xml:space="preserve">1. Dealer inventory snapshot</t>
  </si>
  <si>
    <t xml:space="preserve">Every new motorcycle listed by US dealers on Harley-Davidson.com's 'dealer inventory' tool (MSRP shown; no transaction prices).</t>
  </si>
  <si>
    <t xml:space="preserve">De-duplicated by VIN. Coverage: 497 dealers listing inventory (H-D has ~600 US dealers), so totals understate the full channel.</t>
  </si>
  <si>
    <t xml:space="preserve">Use: (a) inventory per dealer by state; (b) model-year 2025 leftovers as an ageing indicator; (c) mix by family; (d) weekly change once repeated.</t>
  </si>
  <si>
    <t xml:space="preserve">2. Google Trends</t>
  </si>
  <si>
    <t xml:space="preserve">US weekly search index (0-100, relative within each request), averaged by calendar quarter. Brand term 'harley davidson'; intent terms;</t>
  </si>
  <si>
    <t xml:space="preserve">state-level series for the largest dealer states. Correlated with reported North America retail units (8-K releases).</t>
  </si>
  <si>
    <t xml:space="preserve">Caveats</t>
  </si>
  <si>
    <t xml:space="preserve">Trends indices are relative and re-scaled per request; only compare within a series. 'For sale' searches include sellers as well as buyers.</t>
  </si>
  <si>
    <t xml:space="preserve">Q2'24 North America retail is approximate (34.8k, rounded in the Q2'25 release). Correlation uses only 6 quarters: directional evidence only.</t>
  </si>
  <si>
    <t xml:space="preserve">Assumptions used in this workbook</t>
  </si>
  <si>
    <t xml:space="preserve">A1. De-duplication by VIN; a bike listed by two dealers counts once (63 duplicates removed).</t>
  </si>
  <si>
    <t xml:space="preserve">A2. Prior-model-year share = MY2025 units / all listed units; MY2027 not yet listed at snapshot date.</t>
  </si>
  <si>
    <t xml:space="preserve">A3. Months of supply = listed units / (quarterly US retail / 3); uses Q3'25 and Q4'25 US retail (8-K) as demand pace.</t>
  </si>
  <si>
    <t xml:space="preserve">A4. Trends quarterly value = simple average of weekly index values in the quarter (week assigned by its start date + 3 days).</t>
  </si>
  <si>
    <t xml:space="preserve">A5. Nowcast = OLS of NA retail YoY on brand-search YoY over 2025Q1-2026Q2, applied to 2026Q3 search YoY.</t>
  </si>
  <si>
    <t xml:space="preserve">A6. Q2'24 NA retail set to 34,800 (release shows 34.8k rounded); used only for the 2025Q2 YoY.</t>
  </si>
  <si>
    <t xml:space="preserve">A7. 5-yr change in State_Trends = average of last 4 quarters vs. average of first 4 quarters in the window.</t>
  </si>
  <si>
    <t xml:space="preserve">Harley-Davidson.com new-bike dealer inventory - snapshot 2026-10-06</t>
  </si>
  <si>
    <t xml:space="preserve">National</t>
  </si>
  <si>
    <t xml:space="preserve">New units listed</t>
  </si>
  <si>
    <t xml:space="preserve">Dealers listing</t>
  </si>
  <si>
    <t xml:space="preserve">Units per dealer</t>
  </si>
  <si>
    <t xml:space="preserve">Median units per dealer</t>
  </si>
  <si>
    <t xml:space="preserve">90th pct units per dealer</t>
  </si>
  <si>
    <t xml:space="preserve">Model-year 2025 units (leftovers)</t>
  </si>
  <si>
    <t xml:space="preserve">MY2025 share</t>
  </si>
  <si>
    <t xml:space="preserve">Average MSRP ($)</t>
  </si>
  <si>
    <t xml:space="preserve">Q3'25 US retail units (8-K)</t>
  </si>
  <si>
    <t xml:space="preserve">Months of supply at Q3'25 US retail pace</t>
  </si>
  <si>
    <t xml:space="preserve">Q4'25 US retail units (8-K)</t>
  </si>
  <si>
    <t xml:space="preserve">Months of supply at Q4'25 US retail pace</t>
  </si>
  <si>
    <t xml:space="preserve">By state (sorted by units)</t>
  </si>
  <si>
    <t xml:space="preserve">State</t>
  </si>
  <si>
    <t xml:space="preserve">Units</t>
  </si>
  <si>
    <t xml:space="preserve">Dealers</t>
  </si>
  <si>
    <t xml:space="preserve">Units / dealer</t>
  </si>
  <si>
    <t xml:space="preserve">MY2025 units</t>
  </si>
  <si>
    <t xml:space="preserve">Avg MSRP $</t>
  </si>
  <si>
    <t xml:space="preserve">Share of US inventory</t>
  </si>
  <si>
    <t xml:space="preserve">Per-dealer index (US=1.0)</t>
  </si>
  <si>
    <t xml:space="preserve">FL</t>
  </si>
  <si>
    <t xml:space="preserve">TX</t>
  </si>
  <si>
    <t xml:space="preserve">CA</t>
  </si>
  <si>
    <t xml:space="preserve">OH</t>
  </si>
  <si>
    <t xml:space="preserve">NC</t>
  </si>
  <si>
    <t xml:space="preserve">GA</t>
  </si>
  <si>
    <t xml:space="preserve">PA</t>
  </si>
  <si>
    <t xml:space="preserve">AZ</t>
  </si>
  <si>
    <t xml:space="preserve">NY</t>
  </si>
  <si>
    <t xml:space="preserve">SC</t>
  </si>
  <si>
    <t xml:space="preserve">TN</t>
  </si>
  <si>
    <t xml:space="preserve">MI</t>
  </si>
  <si>
    <t xml:space="preserve">VA</t>
  </si>
  <si>
    <t xml:space="preserve">IL</t>
  </si>
  <si>
    <t xml:space="preserve">WI</t>
  </si>
  <si>
    <t xml:space="preserve">KY</t>
  </si>
  <si>
    <t xml:space="preserve">AL</t>
  </si>
  <si>
    <t xml:space="preserve">CO</t>
  </si>
  <si>
    <t xml:space="preserve">IA</t>
  </si>
  <si>
    <t xml:space="preserve">IN</t>
  </si>
  <si>
    <t xml:space="preserve">WA</t>
  </si>
  <si>
    <t xml:space="preserve">MD</t>
  </si>
  <si>
    <t xml:space="preserve">OK</t>
  </si>
  <si>
    <t xml:space="preserve">NV</t>
  </si>
  <si>
    <t xml:space="preserve">OR</t>
  </si>
  <si>
    <t xml:space="preserve">MA</t>
  </si>
  <si>
    <t xml:space="preserve">MN</t>
  </si>
  <si>
    <t xml:space="preserve">LA</t>
  </si>
  <si>
    <t xml:space="preserve">UT</t>
  </si>
  <si>
    <t xml:space="preserve">NH</t>
  </si>
  <si>
    <t xml:space="preserve">NE</t>
  </si>
  <si>
    <t xml:space="preserve">CT</t>
  </si>
  <si>
    <t xml:space="preserve">NJ</t>
  </si>
  <si>
    <t xml:space="preserve">SD</t>
  </si>
  <si>
    <t xml:space="preserve">MO</t>
  </si>
  <si>
    <t xml:space="preserve">ID</t>
  </si>
  <si>
    <t xml:space="preserve">MT</t>
  </si>
  <si>
    <t xml:space="preserve">NM</t>
  </si>
  <si>
    <t xml:space="preserve">ME</t>
  </si>
  <si>
    <t xml:space="preserve">KS</t>
  </si>
  <si>
    <t xml:space="preserve">WV</t>
  </si>
  <si>
    <t xml:space="preserve">MS</t>
  </si>
  <si>
    <t xml:space="preserve">RI</t>
  </si>
  <si>
    <t xml:space="preserve">ND</t>
  </si>
  <si>
    <t xml:space="preserve">HI</t>
  </si>
  <si>
    <t xml:space="preserve">AR</t>
  </si>
  <si>
    <t xml:space="preserve">WY</t>
  </si>
  <si>
    <t xml:space="preserve">AK</t>
  </si>
  <si>
    <t xml:space="preserve">VT</t>
  </si>
  <si>
    <t xml:space="preserve">DE</t>
  </si>
  <si>
    <t xml:space="preserve">Total (check = B5)</t>
  </si>
  <si>
    <t xml:space="preserve">By family</t>
  </si>
  <si>
    <t xml:space="preserve">Family</t>
  </si>
  <si>
    <t xml:space="preserve">Share</t>
  </si>
  <si>
    <t xml:space="preserve">Grand American Touring</t>
  </si>
  <si>
    <t xml:space="preserve">Cruiser</t>
  </si>
  <si>
    <t xml:space="preserve">Trike</t>
  </si>
  <si>
    <t xml:space="preserve">Sport</t>
  </si>
  <si>
    <t xml:space="preserve">Adventure Touring</t>
  </si>
  <si>
    <t xml:space="preserve">Google Trends - US search interest, quarterly averages of weekly index</t>
  </si>
  <si>
    <t xml:space="preserve">Quarter</t>
  </si>
  <si>
    <t xml:space="preserve">harley davidson</t>
  </si>
  <si>
    <t xml:space="preserve">royal enfield</t>
  </si>
  <si>
    <t xml:space="preserve">triumph motorcycle</t>
  </si>
  <si>
    <t xml:space="preserve">indian motorcycle</t>
  </si>
  <si>
    <t xml:space="preserve">ducati</t>
  </si>
  <si>
    <t xml:space="preserve">harley davidson for sale</t>
  </si>
  <si>
    <t xml:space="preserve">used harley</t>
  </si>
  <si>
    <t xml:space="preserve">harley davidson price</t>
  </si>
  <si>
    <t xml:space="preserve">harley davidson dealer</t>
  </si>
  <si>
    <t xml:space="preserve">NA retail units (8-K)</t>
  </si>
  <si>
    <t xml:space="preserve">YoY: harley davidson</t>
  </si>
  <si>
    <t xml:space="preserve">YoY: for sale</t>
  </si>
  <si>
    <t xml:space="preserve">YoY: used harley</t>
  </si>
  <si>
    <t xml:space="preserve">YoY: NA retail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</si>
  <si>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</si>
  <si>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</si>
  <si>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</si>
  <si>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</si>
  <si>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</si>
  <si>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</si>
  <si>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</si>
  <si>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</si>
  <si>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</si>
  <si>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</si>
  <si>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</si>
  <si>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</si>
  <si>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</si>
  <si>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</si>
  <si>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</si>
  <si>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</si>
  <si>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</si>
  <si>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</si>
  <si>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</si>
  <si>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</si>
  <si>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Correlation: brand-search YoY vs NA retail YoY (2025Q1-2026Q2)</t>
  </si>
  <si>
    <t xml:space="preserve">Correlation: 'for sale' search YoY vs NA retail YoY</t>
  </si>
  <si>
    <t xml:space="preserve">Regression slope (retail YoY on brand-search YoY)</t>
  </si>
  <si>
    <t xml:space="preserve">Regression intercept</t>
  </si>
  <si>
    <t xml:space="preserve">Q3'26 brand-search YoY (actual)</t>
  </si>
  <si>
    <t xml:space="preserve">Nowcast: Q3'26 NA retail YoY</t>
  </si>
  <si>
    <t xml:space="preserve">Q3'25 North America retail units (8-K, base for nowcast)</t>
  </si>
  <si>
    <t xml:space="preserve">Implied Q3'26 NA retail units</t>
  </si>
  <si>
    <t xml:space="preserve">Only 6 observations: treat as directional. Q2'24 NA retail approximate.</t>
  </si>
  <si>
    <t xml:space="preserve">Google Trends by state: brand 'harley davidson' and intent 'harley davidson for sale' (quarterly avg. of weekly index)</t>
  </si>
  <si>
    <t xml:space="preserve">CA brand</t>
  </si>
  <si>
    <t xml:space="preserve">CA for sale</t>
  </si>
  <si>
    <t xml:space="preserve">TX brand</t>
  </si>
  <si>
    <t xml:space="preserve">TX for sale</t>
  </si>
  <si>
    <t xml:space="preserve">FL brand</t>
  </si>
  <si>
    <t xml:space="preserve">FL for sale</t>
  </si>
  <si>
    <t xml:space="preserve">PA brand</t>
  </si>
  <si>
    <t xml:space="preserve">PA for sale</t>
  </si>
  <si>
    <t xml:space="preserve">OH brand</t>
  </si>
  <si>
    <t xml:space="preserve">OH for sale</t>
  </si>
  <si>
    <t xml:space="preserve">WI brand</t>
  </si>
  <si>
    <t xml:space="preserve">WI for sale</t>
  </si>
  <si>
    <t xml:space="preserve">Q3'26 YoY</t>
  </si>
  <si>
    <t xml:space="preserve">5-yr change</t>
  </si>
  <si>
    <t xml:space="preserve">5-yr change = last 4 quarters avg vs. first 4 quarters avg (2021Q4-2022Q3).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</si>
</sst>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%"/>
    <numFmt numFmtId="168" formatCode="@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1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7" min="4" style="0" width="12"/>
    <col collapsed="false" customWidth="true" hidden="false" outlineLevel="0" max="10" min="8" style="0" width="14"/>
  </cols>
  <sheetData>
    <row r="1" customFormat="false" ht="15" hidden="false" customHeight="false" outlineLevel="0" collapsed="false">
      <c r="A1" s="3" t="s">
        <v>21</v>
      </c>
    </row>
    <row r="3" customFormat="false" ht="15" hidden="false" customHeight="false" outlineLevel="0" collapsed="false">
      <c r="A3" s="1" t="s">
        <v>22</v>
      </c>
    </row>
    <row r="5" customFormat="false" ht="15" hidden="false" customHeight="false" outlineLevel="0" collapsed="false">
      <c r="A5" s="2" t="s">
        <v>23</v>
      </c>
      <c r="B5" s="4" t="n">
        <v>18355</v>
      </c>
    </row>
    <row r="6" customFormat="false" ht="15" hidden="false" customHeight="false" outlineLevel="0" collapsed="false">
      <c r="A6" s="2" t="s">
        <v>24</v>
      </c>
      <c r="B6" s="4" t="n">
        <v>497</v>
      </c>
    </row>
    <row r="7" customFormat="false" ht="15" hidden="false" customHeight="false" outlineLevel="0" collapsed="false">
      <c r="A7" s="2" t="s">
        <v>25</v>
      </c>
      <c r="B7" s="5" t="n">
        <f aca="false">B5/B6</f>
        <v>36.9315895372233</v>
      </c>
    </row>
    <row r="8" customFormat="false" ht="15" hidden="false" customHeight="false" outlineLevel="0" collapsed="false">
      <c r="A8" s="2" t="s">
        <v>26</v>
      </c>
      <c r="B8" s="6" t="n">
        <v>28</v>
      </c>
    </row>
    <row r="9" customFormat="false" ht="15" hidden="false" customHeight="false" outlineLevel="0" collapsed="false">
      <c r="A9" s="2" t="s">
        <v>27</v>
      </c>
      <c r="B9" s="6" t="n">
        <v>78</v>
      </c>
    </row>
    <row r="10" customFormat="false" ht="15" hidden="false" customHeight="false" outlineLevel="0" collapsed="false">
      <c r="A10" s="2" t="s">
        <v>28</v>
      </c>
      <c r="B10" s="4" t="n">
        <v>1118</v>
      </c>
    </row>
    <row r="11" customFormat="false" ht="15" hidden="false" customHeight="false" outlineLevel="0" collapsed="false">
      <c r="A11" s="2" t="s">
        <v>29</v>
      </c>
      <c r="B11" s="7" t="n">
        <f aca="false">B10/B5</f>
        <v>0.0609098338327431</v>
      </c>
    </row>
    <row r="12" customFormat="false" ht="15" hidden="false" customHeight="false" outlineLevel="0" collapsed="false">
      <c r="A12" s="2" t="s">
        <v>30</v>
      </c>
      <c r="B12" s="4" t="n">
        <v>27629</v>
      </c>
    </row>
    <row r="13" customFormat="false" ht="15" hidden="false" customHeight="false" outlineLevel="0" collapsed="false">
      <c r="A13" s="2" t="s">
        <v>31</v>
      </c>
      <c r="B13" s="4" t="n">
        <v>21779</v>
      </c>
    </row>
    <row r="14" customFormat="false" ht="15" hidden="false" customHeight="false" outlineLevel="0" collapsed="false">
      <c r="A14" s="2" t="s">
        <v>32</v>
      </c>
      <c r="B14" s="5" t="n">
        <f aca="false">B5/(B13/3)</f>
        <v>2.52835300059691</v>
      </c>
    </row>
    <row r="15" customFormat="false" ht="15" hidden="false" customHeight="false" outlineLevel="0" collapsed="false">
      <c r="A15" s="2" t="s">
        <v>33</v>
      </c>
      <c r="B15" s="4" t="n">
        <v>15008</v>
      </c>
    </row>
    <row r="16" customFormat="false" ht="15" hidden="false" customHeight="false" outlineLevel="0" collapsed="false">
      <c r="A16" s="2" t="s">
        <v>34</v>
      </c>
      <c r="B16" s="5" t="n">
        <f aca="false">B5/(B15/3)</f>
        <v>3.66904317697228</v>
      </c>
    </row>
    <row r="18" customFormat="false" ht="15" hidden="false" customHeight="false" outlineLevel="0" collapsed="false">
      <c r="A18" s="1" t="s">
        <v>35</v>
      </c>
    </row>
    <row r="19" customFormat="false" ht="23.85" hidden="false" customHeight="false" outlineLevel="0" collapsed="false">
      <c r="A19" s="8" t="s">
        <v>36</v>
      </c>
      <c r="B19" s="8" t="s">
        <v>37</v>
      </c>
      <c r="C19" s="8" t="s">
        <v>38</v>
      </c>
      <c r="D19" s="8" t="s">
        <v>39</v>
      </c>
      <c r="E19" s="8" t="s">
        <v>40</v>
      </c>
      <c r="F19" s="8" t="s">
        <v>29</v>
      </c>
      <c r="G19" s="8" t="s">
        <v>41</v>
      </c>
      <c r="H19" s="8" t="s">
        <v>42</v>
      </c>
      <c r="I19" s="8" t="s">
        <v>43</v>
      </c>
    </row>
    <row r="20" customFormat="false" ht="15" hidden="false" customHeight="false" outlineLevel="0" collapsed="false">
      <c r="A20" s="9" t="s">
        <v>44</v>
      </c>
      <c r="B20" s="4" t="n">
        <v>2451</v>
      </c>
      <c r="C20" s="4" t="n">
        <v>27</v>
      </c>
      <c r="D20" s="5" t="n">
        <f aca="false">B20/C20</f>
        <v>90.7777777777778</v>
      </c>
      <c r="E20" s="4" t="n">
        <v>110</v>
      </c>
      <c r="F20" s="7" t="n">
        <f aca="false">E20/B20</f>
        <v>0.0448796409628723</v>
      </c>
      <c r="G20" s="4" t="n">
        <v>28401</v>
      </c>
      <c r="H20" s="7" t="n">
        <f aca="false">B20/$B$5</f>
        <v>0.133533097248706</v>
      </c>
      <c r="I20" s="10" t="n">
        <f aca="false">D20/$B$7</f>
        <v>2.45799812342989</v>
      </c>
    </row>
    <row r="21" customFormat="false" ht="15" hidden="false" customHeight="false" outlineLevel="0" collapsed="false">
      <c r="A21" s="9" t="s">
        <v>45</v>
      </c>
      <c r="B21" s="4" t="n">
        <v>1763</v>
      </c>
      <c r="C21" s="4" t="n">
        <v>37</v>
      </c>
      <c r="D21" s="5" t="n">
        <f aca="false">B21/C21</f>
        <v>47.6486486486486</v>
      </c>
      <c r="E21" s="4" t="n">
        <v>54</v>
      </c>
      <c r="F21" s="7" t="n">
        <f aca="false">E21/B21</f>
        <v>0.0306296086216676</v>
      </c>
      <c r="G21" s="4" t="n">
        <v>27207</v>
      </c>
      <c r="H21" s="7" t="n">
        <f aca="false">B21/$B$5</f>
        <v>0.0960501225824026</v>
      </c>
      <c r="I21" s="10" t="n">
        <f aca="false">D21/$B$7</f>
        <v>1.29018678171498</v>
      </c>
    </row>
    <row r="22" customFormat="false" ht="15" hidden="false" customHeight="false" outlineLevel="0" collapsed="false">
      <c r="A22" s="9" t="s">
        <v>46</v>
      </c>
      <c r="B22" s="4" t="n">
        <v>1644</v>
      </c>
      <c r="C22" s="4" t="n">
        <v>33</v>
      </c>
      <c r="D22" s="5" t="n">
        <f aca="false">B22/C22</f>
        <v>49.8181818181818</v>
      </c>
      <c r="E22" s="4" t="n">
        <v>128</v>
      </c>
      <c r="F22" s="7" t="n">
        <f aca="false">E22/B22</f>
        <v>0.0778588807785888</v>
      </c>
      <c r="G22" s="4" t="n">
        <v>26940</v>
      </c>
      <c r="H22" s="7" t="n">
        <f aca="false">B22/$B$5</f>
        <v>0.08956687551076</v>
      </c>
      <c r="I22" s="10" t="n">
        <f aca="false">D22/$B$7</f>
        <v>1.3489314281469</v>
      </c>
    </row>
    <row r="23" customFormat="false" ht="15" hidden="false" customHeight="false" outlineLevel="0" collapsed="false">
      <c r="A23" s="9" t="s">
        <v>47</v>
      </c>
      <c r="B23" s="4" t="n">
        <v>804</v>
      </c>
      <c r="C23" s="4" t="n">
        <v>27</v>
      </c>
      <c r="D23" s="5" t="n">
        <f aca="false">B23/C23</f>
        <v>29.7777777777778</v>
      </c>
      <c r="E23" s="4" t="n">
        <v>37</v>
      </c>
      <c r="F23" s="7" t="n">
        <f aca="false">E23/B23</f>
        <v>0.0460199004975124</v>
      </c>
      <c r="G23" s="4" t="n">
        <v>27532</v>
      </c>
      <c r="H23" s="7" t="n">
        <f aca="false">B23/$B$5</f>
        <v>0.0438027785344593</v>
      </c>
      <c r="I23" s="10" t="n">
        <f aca="false">D23/$B$7</f>
        <v>0.806295590060232</v>
      </c>
    </row>
    <row r="24" customFormat="false" ht="15" hidden="false" customHeight="false" outlineLevel="0" collapsed="false">
      <c r="A24" s="9" t="s">
        <v>48</v>
      </c>
      <c r="B24" s="4" t="n">
        <v>753</v>
      </c>
      <c r="C24" s="4" t="n">
        <v>19</v>
      </c>
      <c r="D24" s="5" t="n">
        <f aca="false">B24/C24</f>
        <v>39.6315789473684</v>
      </c>
      <c r="E24" s="4" t="n">
        <v>38</v>
      </c>
      <c r="F24" s="7" t="n">
        <f aca="false">E24/B24</f>
        <v>0.050464807436919</v>
      </c>
      <c r="G24" s="4" t="n">
        <v>28050</v>
      </c>
      <c r="H24" s="7" t="n">
        <f aca="false">B24/$B$5</f>
        <v>0.0410242440751839</v>
      </c>
      <c r="I24" s="10" t="n">
        <f aca="false">D24/$B$7</f>
        <v>1.07310785817718</v>
      </c>
    </row>
    <row r="25" customFormat="false" ht="15" hidden="false" customHeight="false" outlineLevel="0" collapsed="false">
      <c r="A25" s="9" t="s">
        <v>49</v>
      </c>
      <c r="B25" s="4" t="n">
        <v>738</v>
      </c>
      <c r="C25" s="4" t="n">
        <v>12</v>
      </c>
      <c r="D25" s="5" t="n">
        <f aca="false">B25/C25</f>
        <v>61.5</v>
      </c>
      <c r="E25" s="4" t="n">
        <v>23</v>
      </c>
      <c r="F25" s="7" t="n">
        <f aca="false">E25/B25</f>
        <v>0.0311653116531165</v>
      </c>
      <c r="G25" s="4" t="n">
        <v>28141</v>
      </c>
      <c r="H25" s="7" t="n">
        <f aca="false">B25/$B$5</f>
        <v>0.0402070280577499</v>
      </c>
      <c r="I25" s="10" t="n">
        <f aca="false">D25/$B$7</f>
        <v>1.66524107872514</v>
      </c>
    </row>
    <row r="26" customFormat="false" ht="15" hidden="false" customHeight="false" outlineLevel="0" collapsed="false">
      <c r="A26" s="9" t="s">
        <v>50</v>
      </c>
      <c r="B26" s="4" t="n">
        <v>681</v>
      </c>
      <c r="C26" s="4" t="n">
        <v>28</v>
      </c>
      <c r="D26" s="5" t="n">
        <f aca="false">B26/C26</f>
        <v>24.3214285714286</v>
      </c>
      <c r="E26" s="4" t="n">
        <v>38</v>
      </c>
      <c r="F26" s="7" t="n">
        <f aca="false">E26/B26</f>
        <v>0.0558002936857562</v>
      </c>
      <c r="G26" s="4" t="n">
        <v>27739</v>
      </c>
      <c r="H26" s="7" t="n">
        <f aca="false">B26/$B$5</f>
        <v>0.037101607191501</v>
      </c>
      <c r="I26" s="10" t="n">
        <f aca="false">D26/$B$7</f>
        <v>0.658553527649142</v>
      </c>
    </row>
    <row r="27" customFormat="false" ht="15" hidden="false" customHeight="false" outlineLevel="0" collapsed="false">
      <c r="A27" s="9" t="s">
        <v>51</v>
      </c>
      <c r="B27" s="4" t="n">
        <v>535</v>
      </c>
      <c r="C27" s="4" t="n">
        <v>11</v>
      </c>
      <c r="D27" s="5" t="n">
        <f aca="false">B27/C27</f>
        <v>48.6363636363636</v>
      </c>
      <c r="E27" s="4" t="n">
        <v>35</v>
      </c>
      <c r="F27" s="7" t="n">
        <f aca="false">E27/B27</f>
        <v>0.0654205607476635</v>
      </c>
      <c r="G27" s="4" t="n">
        <v>27341</v>
      </c>
      <c r="H27" s="7" t="n">
        <f aca="false">B27/$B$5</f>
        <v>0.0291473712884773</v>
      </c>
      <c r="I27" s="10" t="n">
        <f aca="false">D27/$B$7</f>
        <v>1.31693123003393</v>
      </c>
    </row>
    <row r="28" customFormat="false" ht="15" hidden="false" customHeight="false" outlineLevel="0" collapsed="false">
      <c r="A28" s="9" t="s">
        <v>52</v>
      </c>
      <c r="B28" s="4" t="n">
        <v>484</v>
      </c>
      <c r="C28" s="4" t="n">
        <v>23</v>
      </c>
      <c r="D28" s="5" t="n">
        <f aca="false">B28/C28</f>
        <v>21.0434782608696</v>
      </c>
      <c r="E28" s="4" t="n">
        <v>54</v>
      </c>
      <c r="F28" s="7" t="n">
        <f aca="false">E28/B28</f>
        <v>0.111570247933884</v>
      </c>
      <c r="G28" s="4" t="n">
        <v>26980</v>
      </c>
      <c r="H28" s="7" t="n">
        <f aca="false">B28/$B$5</f>
        <v>0.0263688368292019</v>
      </c>
      <c r="I28" s="10" t="n">
        <f aca="false">D28/$B$7</f>
        <v>0.569796169744057</v>
      </c>
    </row>
    <row r="29" customFormat="false" ht="15" hidden="false" customHeight="false" outlineLevel="0" collapsed="false">
      <c r="A29" s="9" t="s">
        <v>53</v>
      </c>
      <c r="B29" s="4" t="n">
        <v>467</v>
      </c>
      <c r="C29" s="4" t="n">
        <v>9</v>
      </c>
      <c r="D29" s="5" t="n">
        <f aca="false">B29/C29</f>
        <v>51.8888888888889</v>
      </c>
      <c r="E29" s="4" t="n">
        <v>28</v>
      </c>
      <c r="F29" s="7" t="n">
        <f aca="false">E29/B29</f>
        <v>0.0599571734475375</v>
      </c>
      <c r="G29" s="4" t="n">
        <v>28349</v>
      </c>
      <c r="H29" s="7" t="n">
        <f aca="false">B29/$B$5</f>
        <v>0.0254426586761101</v>
      </c>
      <c r="I29" s="10" t="n">
        <f aca="false">D29/$B$7</f>
        <v>1.4050001513363</v>
      </c>
    </row>
    <row r="30" customFormat="false" ht="15" hidden="false" customHeight="false" outlineLevel="0" collapsed="false">
      <c r="A30" s="9" t="s">
        <v>54</v>
      </c>
      <c r="B30" s="4" t="n">
        <v>453</v>
      </c>
      <c r="C30" s="4" t="n">
        <v>14</v>
      </c>
      <c r="D30" s="5" t="n">
        <f aca="false">B30/C30</f>
        <v>32.3571428571429</v>
      </c>
      <c r="E30" s="4" t="n">
        <v>22</v>
      </c>
      <c r="F30" s="7" t="n">
        <f aca="false">E30/B30</f>
        <v>0.0485651214128035</v>
      </c>
      <c r="G30" s="4" t="n">
        <v>28015</v>
      </c>
      <c r="H30" s="7" t="n">
        <f aca="false">B30/$B$5</f>
        <v>0.024679923726505</v>
      </c>
      <c r="I30" s="10" t="n">
        <f aca="false">D30/$B$7</f>
        <v>0.876137292290929</v>
      </c>
    </row>
    <row r="31" customFormat="false" ht="15" hidden="false" customHeight="false" outlineLevel="0" collapsed="false">
      <c r="A31" s="9" t="s">
        <v>55</v>
      </c>
      <c r="B31" s="4" t="n">
        <v>452</v>
      </c>
      <c r="C31" s="4" t="n">
        <v>13</v>
      </c>
      <c r="D31" s="5" t="n">
        <f aca="false">B31/C31</f>
        <v>34.7692307692308</v>
      </c>
      <c r="E31" s="4" t="n">
        <v>32</v>
      </c>
      <c r="F31" s="7" t="n">
        <f aca="false">E31/B31</f>
        <v>0.0707964601769912</v>
      </c>
      <c r="G31" s="4" t="n">
        <v>27153</v>
      </c>
      <c r="H31" s="7" t="n">
        <f aca="false">B31/$B$5</f>
        <v>0.0246254426586761</v>
      </c>
      <c r="I31" s="10" t="n">
        <f aca="false">D31/$B$7</f>
        <v>0.941449615489387</v>
      </c>
    </row>
    <row r="32" customFormat="false" ht="15" hidden="false" customHeight="false" outlineLevel="0" collapsed="false">
      <c r="A32" s="9" t="s">
        <v>56</v>
      </c>
      <c r="B32" s="4" t="n">
        <v>429</v>
      </c>
      <c r="C32" s="4" t="n">
        <v>14</v>
      </c>
      <c r="D32" s="5" t="n">
        <f aca="false">B32/C32</f>
        <v>30.6428571428571</v>
      </c>
      <c r="E32" s="4" t="n">
        <v>29</v>
      </c>
      <c r="F32" s="7" t="n">
        <f aca="false">E32/B32</f>
        <v>0.0675990675990676</v>
      </c>
      <c r="G32" s="4" t="n">
        <v>28429</v>
      </c>
      <c r="H32" s="7" t="n">
        <f aca="false">B32/$B$5</f>
        <v>0.0233723780986107</v>
      </c>
      <c r="I32" s="10" t="n">
        <f aca="false">D32/$B$7</f>
        <v>0.829719422500681</v>
      </c>
    </row>
    <row r="33" customFormat="false" ht="15" hidden="false" customHeight="false" outlineLevel="0" collapsed="false">
      <c r="A33" s="9" t="s">
        <v>57</v>
      </c>
      <c r="B33" s="4" t="n">
        <v>408</v>
      </c>
      <c r="C33" s="4" t="n">
        <v>19</v>
      </c>
      <c r="D33" s="5" t="n">
        <f aca="false">B33/C33</f>
        <v>21.4736842105263</v>
      </c>
      <c r="E33" s="4" t="n">
        <v>33</v>
      </c>
      <c r="F33" s="7" t="n">
        <f aca="false">E33/B33</f>
        <v>0.0808823529411765</v>
      </c>
      <c r="G33" s="4" t="n">
        <v>27857</v>
      </c>
      <c r="H33" s="7" t="n">
        <f aca="false">B33/$B$5</f>
        <v>0.0222282756742032</v>
      </c>
      <c r="I33" s="10" t="n">
        <f aca="false">D33/$B$7</f>
        <v>0.581444895267316</v>
      </c>
    </row>
    <row r="34" customFormat="false" ht="15" hidden="false" customHeight="false" outlineLevel="0" collapsed="false">
      <c r="A34" s="9" t="s">
        <v>58</v>
      </c>
      <c r="B34" s="4" t="n">
        <v>355</v>
      </c>
      <c r="C34" s="4" t="n">
        <v>19</v>
      </c>
      <c r="D34" s="5" t="n">
        <f aca="false">B34/C34</f>
        <v>18.6842105263158</v>
      </c>
      <c r="E34" s="4" t="n">
        <v>37</v>
      </c>
      <c r="F34" s="7" t="n">
        <f aca="false">E34/B34</f>
        <v>0.104225352112676</v>
      </c>
      <c r="G34" s="4" t="n">
        <v>28388</v>
      </c>
      <c r="H34" s="7" t="n">
        <f aca="false">B34/$B$5</f>
        <v>0.01934077907927</v>
      </c>
      <c r="I34" s="10" t="n">
        <f aca="false">D34/$B$7</f>
        <v>0.505914063284062</v>
      </c>
    </row>
    <row r="35" customFormat="false" ht="15" hidden="false" customHeight="false" outlineLevel="0" collapsed="false">
      <c r="A35" s="9" t="s">
        <v>59</v>
      </c>
      <c r="B35" s="4" t="n">
        <v>341</v>
      </c>
      <c r="C35" s="4" t="n">
        <v>8</v>
      </c>
      <c r="D35" s="5" t="n">
        <f aca="false">B35/C35</f>
        <v>42.625</v>
      </c>
      <c r="E35" s="4" t="n">
        <v>38</v>
      </c>
      <c r="F35" s="7" t="n">
        <f aca="false">E35/B35</f>
        <v>0.111436950146628</v>
      </c>
      <c r="G35" s="4" t="n">
        <v>27611</v>
      </c>
      <c r="H35" s="7" t="n">
        <f aca="false">B35/$B$5</f>
        <v>0.0185780441296649</v>
      </c>
      <c r="I35" s="10" t="n">
        <f aca="false">D35/$B$7</f>
        <v>1.15416099155543</v>
      </c>
    </row>
    <row r="36" customFormat="false" ht="15" hidden="false" customHeight="false" outlineLevel="0" collapsed="false">
      <c r="A36" s="9" t="s">
        <v>60</v>
      </c>
      <c r="B36" s="4" t="n">
        <v>335</v>
      </c>
      <c r="C36" s="4" t="n">
        <v>9</v>
      </c>
      <c r="D36" s="5" t="n">
        <f aca="false">B36/C36</f>
        <v>37.2222222222222</v>
      </c>
      <c r="E36" s="4" t="n">
        <v>18</v>
      </c>
      <c r="F36" s="7" t="n">
        <f aca="false">E36/B36</f>
        <v>0.0537313432835821</v>
      </c>
      <c r="G36" s="4" t="n">
        <v>28982</v>
      </c>
      <c r="H36" s="7" t="n">
        <f aca="false">B36/$B$5</f>
        <v>0.0182511577226914</v>
      </c>
      <c r="I36" s="10" t="n">
        <f aca="false">D36/$B$7</f>
        <v>1.00786948757529</v>
      </c>
    </row>
    <row r="37" customFormat="false" ht="15" hidden="false" customHeight="false" outlineLevel="0" collapsed="false">
      <c r="A37" s="9" t="s">
        <v>61</v>
      </c>
      <c r="B37" s="4" t="n">
        <v>331</v>
      </c>
      <c r="C37" s="4" t="n">
        <v>10</v>
      </c>
      <c r="D37" s="5" t="n">
        <f aca="false">B37/C37</f>
        <v>33.1</v>
      </c>
      <c r="E37" s="4" t="n">
        <v>26</v>
      </c>
      <c r="F37" s="7" t="n">
        <f aca="false">E37/B37</f>
        <v>0.0785498489425982</v>
      </c>
      <c r="G37" s="4" t="n">
        <v>26443</v>
      </c>
      <c r="H37" s="7" t="n">
        <f aca="false">B37/$B$5</f>
        <v>0.0180332334513756</v>
      </c>
      <c r="I37" s="10" t="n">
        <f aca="false">D37/$B$7</f>
        <v>0.89625170253337</v>
      </c>
    </row>
    <row r="38" customFormat="false" ht="15" hidden="false" customHeight="false" outlineLevel="0" collapsed="false">
      <c r="A38" s="9" t="s">
        <v>62</v>
      </c>
      <c r="B38" s="4" t="n">
        <v>329</v>
      </c>
      <c r="C38" s="4" t="n">
        <v>17</v>
      </c>
      <c r="D38" s="5" t="n">
        <f aca="false">B38/C38</f>
        <v>19.3529411764706</v>
      </c>
      <c r="E38" s="4" t="n">
        <v>24</v>
      </c>
      <c r="F38" s="7" t="n">
        <f aca="false">E38/B38</f>
        <v>0.0729483282674772</v>
      </c>
      <c r="G38" s="4" t="n">
        <v>26903</v>
      </c>
      <c r="H38" s="7" t="n">
        <f aca="false">B38/$B$5</f>
        <v>0.0179242713157178</v>
      </c>
      <c r="I38" s="10" t="n">
        <f aca="false">D38/$B$7</f>
        <v>0.524021343759514</v>
      </c>
    </row>
    <row r="39" customFormat="false" ht="15" hidden="false" customHeight="false" outlineLevel="0" collapsed="false">
      <c r="A39" s="9" t="s">
        <v>63</v>
      </c>
      <c r="B39" s="4" t="n">
        <v>317</v>
      </c>
      <c r="C39" s="4" t="n">
        <v>15</v>
      </c>
      <c r="D39" s="5" t="n">
        <f aca="false">B39/C39</f>
        <v>21.1333333333333</v>
      </c>
      <c r="E39" s="4" t="n">
        <v>19</v>
      </c>
      <c r="F39" s="7" t="n">
        <f aca="false">E39/B39</f>
        <v>0.0599369085173502</v>
      </c>
      <c r="G39" s="4" t="n">
        <v>27436</v>
      </c>
      <c r="H39" s="7" t="n">
        <f aca="false">B39/$B$5</f>
        <v>0.0172704985017706</v>
      </c>
      <c r="I39" s="10" t="n">
        <f aca="false">D39/$B$7</f>
        <v>0.572229183692</v>
      </c>
    </row>
    <row r="40" customFormat="false" ht="15" hidden="false" customHeight="false" outlineLevel="0" collapsed="false">
      <c r="A40" s="9" t="s">
        <v>64</v>
      </c>
      <c r="B40" s="4" t="n">
        <v>289</v>
      </c>
      <c r="C40" s="4" t="n">
        <v>5</v>
      </c>
      <c r="D40" s="5" t="n">
        <f aca="false">B40/C40</f>
        <v>57.8</v>
      </c>
      <c r="E40" s="4" t="n">
        <v>6</v>
      </c>
      <c r="F40" s="7" t="n">
        <f aca="false">E40/B40</f>
        <v>0.0207612456747405</v>
      </c>
      <c r="G40" s="4" t="n">
        <v>27172</v>
      </c>
      <c r="H40" s="7" t="n">
        <f aca="false">B40/$B$5</f>
        <v>0.0157450286025606</v>
      </c>
      <c r="I40" s="10" t="n">
        <f aca="false">D40/$B$7</f>
        <v>1.56505584309452</v>
      </c>
    </row>
    <row r="41" customFormat="false" ht="15" hidden="false" customHeight="false" outlineLevel="0" collapsed="false">
      <c r="A41" s="9" t="s">
        <v>65</v>
      </c>
      <c r="B41" s="4" t="n">
        <v>273</v>
      </c>
      <c r="C41" s="4" t="n">
        <v>6</v>
      </c>
      <c r="D41" s="5" t="n">
        <f aca="false">B41/C41</f>
        <v>45.5</v>
      </c>
      <c r="E41" s="4" t="n">
        <v>14</v>
      </c>
      <c r="F41" s="7" t="n">
        <f aca="false">E41/B41</f>
        <v>0.0512820512820513</v>
      </c>
      <c r="G41" s="4" t="n">
        <v>28336</v>
      </c>
      <c r="H41" s="7" t="n">
        <f aca="false">B41/$B$5</f>
        <v>0.0148733315172977</v>
      </c>
      <c r="I41" s="10" t="n">
        <f aca="false">D41/$B$7</f>
        <v>1.2320076273495</v>
      </c>
    </row>
    <row r="42" customFormat="false" ht="15" hidden="false" customHeight="false" outlineLevel="0" collapsed="false">
      <c r="A42" s="9" t="s">
        <v>66</v>
      </c>
      <c r="B42" s="4" t="n">
        <v>267</v>
      </c>
      <c r="C42" s="4" t="n">
        <v>6</v>
      </c>
      <c r="D42" s="5" t="n">
        <f aca="false">B42/C42</f>
        <v>44.5</v>
      </c>
      <c r="E42" s="4" t="n">
        <v>23</v>
      </c>
      <c r="F42" s="7" t="n">
        <f aca="false">E42/B42</f>
        <v>0.0861423220973783</v>
      </c>
      <c r="G42" s="4" t="n">
        <v>27747</v>
      </c>
      <c r="H42" s="7" t="n">
        <f aca="false">B42/$B$5</f>
        <v>0.0145464451103242</v>
      </c>
      <c r="I42" s="10" t="n">
        <f aca="false">D42/$B$7</f>
        <v>1.20493053663852</v>
      </c>
    </row>
    <row r="43" customFormat="false" ht="15" hidden="false" customHeight="false" outlineLevel="0" collapsed="false">
      <c r="A43" s="9" t="s">
        <v>67</v>
      </c>
      <c r="B43" s="4" t="n">
        <v>251</v>
      </c>
      <c r="C43" s="4" t="n">
        <v>5</v>
      </c>
      <c r="D43" s="5" t="n">
        <f aca="false">B43/C43</f>
        <v>50.2</v>
      </c>
      <c r="E43" s="4" t="n">
        <v>33</v>
      </c>
      <c r="F43" s="7" t="n">
        <f aca="false">E43/B43</f>
        <v>0.131474103585657</v>
      </c>
      <c r="G43" s="4" t="n">
        <v>26177</v>
      </c>
      <c r="H43" s="7" t="n">
        <f aca="false">B43/$B$5</f>
        <v>0.0136747480250613</v>
      </c>
      <c r="I43" s="10" t="n">
        <f aca="false">D43/$B$7</f>
        <v>1.35926995369109</v>
      </c>
    </row>
    <row r="44" customFormat="false" ht="15" hidden="false" customHeight="false" outlineLevel="0" collapsed="false">
      <c r="A44" s="9" t="s">
        <v>68</v>
      </c>
      <c r="B44" s="4" t="n">
        <v>235</v>
      </c>
      <c r="C44" s="4" t="n">
        <v>5</v>
      </c>
      <c r="D44" s="5" t="n">
        <f aca="false">B44/C44</f>
        <v>47</v>
      </c>
      <c r="E44" s="4" t="n">
        <v>21</v>
      </c>
      <c r="F44" s="7" t="n">
        <f aca="false">E44/B44</f>
        <v>0.0893617021276596</v>
      </c>
      <c r="G44" s="4" t="n">
        <v>26883</v>
      </c>
      <c r="H44" s="7" t="n">
        <f aca="false">B44/$B$5</f>
        <v>0.0128030509397984</v>
      </c>
      <c r="I44" s="10" t="n">
        <f aca="false">D44/$B$7</f>
        <v>1.27262326341596</v>
      </c>
    </row>
    <row r="45" customFormat="false" ht="15" hidden="false" customHeight="false" outlineLevel="0" collapsed="false">
      <c r="A45" s="9" t="s">
        <v>69</v>
      </c>
      <c r="B45" s="4" t="n">
        <v>227</v>
      </c>
      <c r="C45" s="4" t="n">
        <v>7</v>
      </c>
      <c r="D45" s="5" t="n">
        <f aca="false">B45/C45</f>
        <v>32.4285714285714</v>
      </c>
      <c r="E45" s="4" t="n">
        <v>11</v>
      </c>
      <c r="F45" s="7" t="n">
        <f aca="false">E45/B45</f>
        <v>0.0484581497797357</v>
      </c>
      <c r="G45" s="4" t="n">
        <v>27300</v>
      </c>
      <c r="H45" s="7" t="n">
        <f aca="false">B45/$B$5</f>
        <v>0.012367202397167</v>
      </c>
      <c r="I45" s="10" t="n">
        <f aca="false">D45/$B$7</f>
        <v>0.878071370198856</v>
      </c>
    </row>
    <row r="46" customFormat="false" ht="15" hidden="false" customHeight="false" outlineLevel="0" collapsed="false">
      <c r="A46" s="9" t="s">
        <v>70</v>
      </c>
      <c r="B46" s="4" t="n">
        <v>227</v>
      </c>
      <c r="C46" s="4" t="n">
        <v>11</v>
      </c>
      <c r="D46" s="5" t="n">
        <f aca="false">B46/C46</f>
        <v>20.6363636363636</v>
      </c>
      <c r="E46" s="4" t="n">
        <v>14</v>
      </c>
      <c r="F46" s="7" t="n">
        <f aca="false">E46/B46</f>
        <v>0.0616740088105727</v>
      </c>
      <c r="G46" s="4" t="n">
        <v>28872</v>
      </c>
      <c r="H46" s="7" t="n">
        <f aca="false">B46/$B$5</f>
        <v>0.012367202397167</v>
      </c>
      <c r="I46" s="10" t="n">
        <f aca="false">D46/$B$7</f>
        <v>0.558772690126545</v>
      </c>
    </row>
    <row r="47" customFormat="false" ht="15" hidden="false" customHeight="false" outlineLevel="0" collapsed="false">
      <c r="A47" s="9" t="s">
        <v>71</v>
      </c>
      <c r="B47" s="4" t="n">
        <v>222</v>
      </c>
      <c r="C47" s="4" t="n">
        <v>7</v>
      </c>
      <c r="D47" s="5" t="n">
        <f aca="false">B47/C47</f>
        <v>31.7142857142857</v>
      </c>
      <c r="E47" s="4" t="n">
        <v>15</v>
      </c>
      <c r="F47" s="7" t="n">
        <f aca="false">E47/B47</f>
        <v>0.0675675675675676</v>
      </c>
      <c r="G47" s="4" t="n">
        <v>27118</v>
      </c>
      <c r="H47" s="7" t="n">
        <f aca="false">B47/$B$5</f>
        <v>0.0120947970580223</v>
      </c>
      <c r="I47" s="10" t="n">
        <f aca="false">D47/$B$7</f>
        <v>0.858730591119586</v>
      </c>
    </row>
    <row r="48" customFormat="false" ht="15" hidden="false" customHeight="false" outlineLevel="0" collapsed="false">
      <c r="A48" s="9" t="s">
        <v>72</v>
      </c>
      <c r="B48" s="4" t="n">
        <v>220</v>
      </c>
      <c r="C48" s="4" t="n">
        <v>7</v>
      </c>
      <c r="D48" s="5" t="n">
        <f aca="false">B48/C48</f>
        <v>31.4285714285714</v>
      </c>
      <c r="E48" s="4" t="n">
        <v>22</v>
      </c>
      <c r="F48" s="7" t="n">
        <f aca="false">E48/B48</f>
        <v>0.1</v>
      </c>
      <c r="G48" s="4" t="n">
        <v>27130</v>
      </c>
      <c r="H48" s="7" t="n">
        <f aca="false">B48/$B$5</f>
        <v>0.0119858349223645</v>
      </c>
      <c r="I48" s="10" t="n">
        <f aca="false">D48/$B$7</f>
        <v>0.850994279487878</v>
      </c>
    </row>
    <row r="49" customFormat="false" ht="15" hidden="false" customHeight="false" outlineLevel="0" collapsed="false">
      <c r="A49" s="9" t="s">
        <v>73</v>
      </c>
      <c r="B49" s="4" t="n">
        <v>219</v>
      </c>
      <c r="C49" s="4" t="n">
        <v>4</v>
      </c>
      <c r="D49" s="5" t="n">
        <f aca="false">B49/C49</f>
        <v>54.75</v>
      </c>
      <c r="E49" s="4" t="n">
        <v>4</v>
      </c>
      <c r="F49" s="7" t="n">
        <f aca="false">E49/B49</f>
        <v>0.0182648401826484</v>
      </c>
      <c r="G49" s="4" t="n">
        <v>28040</v>
      </c>
      <c r="H49" s="7" t="n">
        <f aca="false">B49/$B$5</f>
        <v>0.0119313538545355</v>
      </c>
      <c r="I49" s="10" t="n">
        <f aca="false">D49/$B$7</f>
        <v>1.48247071642604</v>
      </c>
    </row>
    <row r="50" customFormat="false" ht="15" hidden="false" customHeight="false" outlineLevel="0" collapsed="false">
      <c r="A50" s="9" t="s">
        <v>74</v>
      </c>
      <c r="B50" s="4" t="n">
        <v>191</v>
      </c>
      <c r="C50" s="4" t="n">
        <v>3</v>
      </c>
      <c r="D50" s="5" t="n">
        <f aca="false">B50/C50</f>
        <v>63.6666666666667</v>
      </c>
      <c r="E50" s="4" t="n">
        <v>22</v>
      </c>
      <c r="F50" s="7" t="n">
        <f aca="false">E50/B50</f>
        <v>0.115183246073298</v>
      </c>
      <c r="G50" s="4" t="n">
        <v>26384</v>
      </c>
      <c r="H50" s="7" t="n">
        <f aca="false">B50/$B$5</f>
        <v>0.0104058839553255</v>
      </c>
      <c r="I50" s="10" t="n">
        <f aca="false">D50/$B$7</f>
        <v>1.72390810859893</v>
      </c>
    </row>
    <row r="51" customFormat="false" ht="15" hidden="false" customHeight="false" outlineLevel="0" collapsed="false">
      <c r="A51" s="9" t="s">
        <v>75</v>
      </c>
      <c r="B51" s="4" t="n">
        <v>179</v>
      </c>
      <c r="C51" s="4" t="n">
        <v>6</v>
      </c>
      <c r="D51" s="5" t="n">
        <f aca="false">B51/C51</f>
        <v>29.8333333333333</v>
      </c>
      <c r="E51" s="4" t="n">
        <v>16</v>
      </c>
      <c r="F51" s="7" t="n">
        <f aca="false">E51/B51</f>
        <v>0.0893854748603352</v>
      </c>
      <c r="G51" s="4" t="n">
        <v>26402</v>
      </c>
      <c r="H51" s="7" t="n">
        <f aca="false">B51/$B$5</f>
        <v>0.00975211114137837</v>
      </c>
      <c r="I51" s="10" t="n">
        <f aca="false">D51/$B$7</f>
        <v>0.807799872877508</v>
      </c>
    </row>
    <row r="52" customFormat="false" ht="15" hidden="false" customHeight="false" outlineLevel="0" collapsed="false">
      <c r="A52" s="9" t="s">
        <v>76</v>
      </c>
      <c r="B52" s="4" t="n">
        <v>160</v>
      </c>
      <c r="C52" s="4" t="n">
        <v>6</v>
      </c>
      <c r="D52" s="5" t="n">
        <f aca="false">B52/C52</f>
        <v>26.6666666666667</v>
      </c>
      <c r="E52" s="4" t="n">
        <v>4</v>
      </c>
      <c r="F52" s="7" t="n">
        <f aca="false">E52/B52</f>
        <v>0.025</v>
      </c>
      <c r="G52" s="4" t="n">
        <v>25944</v>
      </c>
      <c r="H52" s="7" t="n">
        <f aca="false">B52/$B$5</f>
        <v>0.00871697085262871</v>
      </c>
      <c r="I52" s="10" t="n">
        <f aca="false">D52/$B$7</f>
        <v>0.722055752292745</v>
      </c>
    </row>
    <row r="53" customFormat="false" ht="15" hidden="false" customHeight="false" outlineLevel="0" collapsed="false">
      <c r="A53" s="9" t="s">
        <v>77</v>
      </c>
      <c r="B53" s="4" t="n">
        <v>160</v>
      </c>
      <c r="C53" s="4" t="n">
        <v>3</v>
      </c>
      <c r="D53" s="5" t="n">
        <f aca="false">B53/C53</f>
        <v>53.3333333333333</v>
      </c>
      <c r="E53" s="4" t="n">
        <v>8</v>
      </c>
      <c r="F53" s="7" t="n">
        <f aca="false">E53/B53</f>
        <v>0.05</v>
      </c>
      <c r="G53" s="4" t="n">
        <v>27382</v>
      </c>
      <c r="H53" s="7" t="n">
        <f aca="false">B53/$B$5</f>
        <v>0.00871697085262871</v>
      </c>
      <c r="I53" s="10" t="n">
        <f aca="false">D53/$B$7</f>
        <v>1.44411150458549</v>
      </c>
    </row>
    <row r="54" customFormat="false" ht="15" hidden="false" customHeight="false" outlineLevel="0" collapsed="false">
      <c r="A54" s="9" t="s">
        <v>78</v>
      </c>
      <c r="B54" s="4" t="n">
        <v>121</v>
      </c>
      <c r="C54" s="4" t="n">
        <v>7</v>
      </c>
      <c r="D54" s="5" t="n">
        <f aca="false">B54/C54</f>
        <v>17.2857142857143</v>
      </c>
      <c r="E54" s="4" t="n">
        <v>8</v>
      </c>
      <c r="F54" s="7" t="n">
        <f aca="false">E54/B54</f>
        <v>0.0661157024793388</v>
      </c>
      <c r="G54" s="4" t="n">
        <v>27747</v>
      </c>
      <c r="H54" s="7" t="n">
        <f aca="false">B54/$B$5</f>
        <v>0.00659220920730046</v>
      </c>
      <c r="I54" s="10" t="n">
        <f aca="false">D54/$B$7</f>
        <v>0.468046853718333</v>
      </c>
    </row>
    <row r="55" customFormat="false" ht="15" hidden="false" customHeight="false" outlineLevel="0" collapsed="false">
      <c r="A55" s="9" t="s">
        <v>79</v>
      </c>
      <c r="B55" s="4" t="n">
        <v>117</v>
      </c>
      <c r="C55" s="4" t="n">
        <v>3</v>
      </c>
      <c r="D55" s="5" t="n">
        <f aca="false">B55/C55</f>
        <v>39</v>
      </c>
      <c r="E55" s="4" t="n">
        <v>6</v>
      </c>
      <c r="F55" s="7" t="n">
        <f aca="false">E55/B55</f>
        <v>0.0512820512820513</v>
      </c>
      <c r="G55" s="4" t="n">
        <v>26973</v>
      </c>
      <c r="H55" s="7" t="n">
        <f aca="false">B55/$B$5</f>
        <v>0.00637428493598475</v>
      </c>
      <c r="I55" s="10" t="n">
        <f aca="false">D55/$B$7</f>
        <v>1.05600653772814</v>
      </c>
    </row>
    <row r="56" customFormat="false" ht="15" hidden="false" customHeight="false" outlineLevel="0" collapsed="false">
      <c r="A56" s="9" t="s">
        <v>80</v>
      </c>
      <c r="B56" s="4" t="n">
        <v>115</v>
      </c>
      <c r="C56" s="4" t="n">
        <v>5</v>
      </c>
      <c r="D56" s="5" t="n">
        <f aca="false">B56/C56</f>
        <v>23</v>
      </c>
      <c r="E56" s="4" t="n">
        <v>27</v>
      </c>
      <c r="F56" s="7" t="n">
        <f aca="false">E56/B56</f>
        <v>0.234782608695652</v>
      </c>
      <c r="G56" s="4" t="n">
        <v>26419</v>
      </c>
      <c r="H56" s="7" t="n">
        <f aca="false">B56/$B$5</f>
        <v>0.00626532280032689</v>
      </c>
      <c r="I56" s="10" t="n">
        <f aca="false">D56/$B$7</f>
        <v>0.622773086352493</v>
      </c>
    </row>
    <row r="57" customFormat="false" ht="15" hidden="false" customHeight="false" outlineLevel="0" collapsed="false">
      <c r="A57" s="9" t="s">
        <v>81</v>
      </c>
      <c r="B57" s="4" t="n">
        <v>113</v>
      </c>
      <c r="C57" s="4" t="n">
        <v>3</v>
      </c>
      <c r="D57" s="5" t="n">
        <f aca="false">B57/C57</f>
        <v>37.6666666666667</v>
      </c>
      <c r="E57" s="4" t="n">
        <v>6</v>
      </c>
      <c r="F57" s="7" t="n">
        <f aca="false">E57/B57</f>
        <v>0.0530973451327434</v>
      </c>
      <c r="G57" s="4" t="n">
        <v>28001</v>
      </c>
      <c r="H57" s="7" t="n">
        <f aca="false">B57/$B$5</f>
        <v>0.00615636066466903</v>
      </c>
      <c r="I57" s="10" t="n">
        <f aca="false">D57/$B$7</f>
        <v>1.0199037501135</v>
      </c>
    </row>
    <row r="58" customFormat="false" ht="15" hidden="false" customHeight="false" outlineLevel="0" collapsed="false">
      <c r="A58" s="9" t="s">
        <v>82</v>
      </c>
      <c r="B58" s="4" t="n">
        <v>110</v>
      </c>
      <c r="C58" s="4" t="n">
        <v>5</v>
      </c>
      <c r="D58" s="5" t="n">
        <f aca="false">B58/C58</f>
        <v>22</v>
      </c>
      <c r="E58" s="4" t="n">
        <v>6</v>
      </c>
      <c r="F58" s="7" t="n">
        <f aca="false">E58/B58</f>
        <v>0.0545454545454545</v>
      </c>
      <c r="G58" s="4" t="n">
        <v>27471</v>
      </c>
      <c r="H58" s="7" t="n">
        <f aca="false">B58/$B$5</f>
        <v>0.00599291746118224</v>
      </c>
      <c r="I58" s="10" t="n">
        <f aca="false">D58/$B$7</f>
        <v>0.595695995641515</v>
      </c>
    </row>
    <row r="59" customFormat="false" ht="15" hidden="false" customHeight="false" outlineLevel="0" collapsed="false">
      <c r="A59" s="9" t="s">
        <v>83</v>
      </c>
      <c r="B59" s="4" t="n">
        <v>101</v>
      </c>
      <c r="C59" s="4" t="n">
        <v>3</v>
      </c>
      <c r="D59" s="5" t="n">
        <f aca="false">B59/C59</f>
        <v>33.6666666666667</v>
      </c>
      <c r="E59" s="4" t="n">
        <v>3</v>
      </c>
      <c r="F59" s="7" t="n">
        <f aca="false">E59/B59</f>
        <v>0.0297029702970297</v>
      </c>
      <c r="G59" s="4" t="n">
        <v>28627</v>
      </c>
      <c r="H59" s="7" t="n">
        <f aca="false">B59/$B$5</f>
        <v>0.00550258785072187</v>
      </c>
      <c r="I59" s="10" t="n">
        <f aca="false">D59/$B$7</f>
        <v>0.91159538726959</v>
      </c>
    </row>
    <row r="60" customFormat="false" ht="15" hidden="false" customHeight="false" outlineLevel="0" collapsed="false">
      <c r="A60" s="9" t="s">
        <v>84</v>
      </c>
      <c r="B60" s="4" t="n">
        <v>96</v>
      </c>
      <c r="C60" s="4" t="n">
        <v>6</v>
      </c>
      <c r="D60" s="5" t="n">
        <f aca="false">B60/C60</f>
        <v>16</v>
      </c>
      <c r="E60" s="4" t="n">
        <v>2</v>
      </c>
      <c r="F60" s="7" t="n">
        <f aca="false">E60/B60</f>
        <v>0.0208333333333333</v>
      </c>
      <c r="G60" s="4" t="n">
        <v>28360</v>
      </c>
      <c r="H60" s="7" t="n">
        <f aca="false">B60/$B$5</f>
        <v>0.00523018251157723</v>
      </c>
      <c r="I60" s="10" t="n">
        <f aca="false">D60/$B$7</f>
        <v>0.433233451375647</v>
      </c>
    </row>
    <row r="61" customFormat="false" ht="15" hidden="false" customHeight="false" outlineLevel="0" collapsed="false">
      <c r="A61" s="9" t="s">
        <v>85</v>
      </c>
      <c r="B61" s="4" t="n">
        <v>84</v>
      </c>
      <c r="C61" s="4" t="n">
        <v>3</v>
      </c>
      <c r="D61" s="5" t="n">
        <f aca="false">B61/C61</f>
        <v>28</v>
      </c>
      <c r="E61" s="4" t="n">
        <v>0</v>
      </c>
      <c r="F61" s="7" t="n">
        <f aca="false">E61/B61</f>
        <v>0</v>
      </c>
      <c r="G61" s="4" t="n">
        <v>30835</v>
      </c>
      <c r="H61" s="7" t="n">
        <f aca="false">B61/$B$5</f>
        <v>0.00457640969763007</v>
      </c>
      <c r="I61" s="10" t="n">
        <f aca="false">D61/$B$7</f>
        <v>0.758158539907382</v>
      </c>
    </row>
    <row r="62" customFormat="false" ht="15" hidden="false" customHeight="false" outlineLevel="0" collapsed="false">
      <c r="A62" s="9" t="s">
        <v>86</v>
      </c>
      <c r="B62" s="4" t="n">
        <v>71</v>
      </c>
      <c r="C62" s="4" t="n">
        <v>2</v>
      </c>
      <c r="D62" s="5" t="n">
        <f aca="false">B62/C62</f>
        <v>35.5</v>
      </c>
      <c r="E62" s="4" t="n">
        <v>2</v>
      </c>
      <c r="F62" s="7" t="n">
        <f aca="false">E62/B62</f>
        <v>0.028169014084507</v>
      </c>
      <c r="G62" s="4" t="n">
        <v>28524</v>
      </c>
      <c r="H62" s="7" t="n">
        <f aca="false">B62/$B$5</f>
        <v>0.00386815581585399</v>
      </c>
      <c r="I62" s="10" t="n">
        <f aca="false">D62/$B$7</f>
        <v>0.961236720239717</v>
      </c>
    </row>
    <row r="63" customFormat="false" ht="15" hidden="false" customHeight="false" outlineLevel="0" collapsed="false">
      <c r="A63" s="9" t="s">
        <v>87</v>
      </c>
      <c r="B63" s="4" t="n">
        <v>61</v>
      </c>
      <c r="C63" s="4" t="n">
        <v>3</v>
      </c>
      <c r="D63" s="5" t="n">
        <f aca="false">B63/C63</f>
        <v>20.3333333333333</v>
      </c>
      <c r="E63" s="4" t="n">
        <v>3</v>
      </c>
      <c r="F63" s="7" t="n">
        <f aca="false">E63/B63</f>
        <v>0.0491803278688525</v>
      </c>
      <c r="G63" s="4" t="n">
        <v>28419</v>
      </c>
      <c r="H63" s="7" t="n">
        <f aca="false">B63/$B$5</f>
        <v>0.0033233451375647</v>
      </c>
      <c r="I63" s="10" t="n">
        <f aca="false">D63/$B$7</f>
        <v>0.550567511123218</v>
      </c>
    </row>
    <row r="64" customFormat="false" ht="15" hidden="false" customHeight="false" outlineLevel="0" collapsed="false">
      <c r="A64" s="9" t="s">
        <v>88</v>
      </c>
      <c r="B64" s="4" t="n">
        <v>41</v>
      </c>
      <c r="C64" s="4" t="n">
        <v>2</v>
      </c>
      <c r="D64" s="5" t="n">
        <f aca="false">B64/C64</f>
        <v>20.5</v>
      </c>
      <c r="E64" s="4" t="n">
        <v>0</v>
      </c>
      <c r="F64" s="7" t="n">
        <f aca="false">E64/B64</f>
        <v>0</v>
      </c>
      <c r="G64" s="4" t="n">
        <v>22693</v>
      </c>
      <c r="H64" s="7" t="n">
        <f aca="false">B64/$B$5</f>
        <v>0.00223372378098611</v>
      </c>
      <c r="I64" s="10" t="n">
        <f aca="false">D64/$B$7</f>
        <v>0.555080359575048</v>
      </c>
    </row>
    <row r="65" customFormat="false" ht="15" hidden="false" customHeight="false" outlineLevel="0" collapsed="false">
      <c r="A65" s="9" t="s">
        <v>89</v>
      </c>
      <c r="B65" s="4" t="n">
        <v>33</v>
      </c>
      <c r="C65" s="4" t="n">
        <v>4</v>
      </c>
      <c r="D65" s="5" t="n">
        <f aca="false">B65/C65</f>
        <v>8.25</v>
      </c>
      <c r="E65" s="4" t="n">
        <v>9</v>
      </c>
      <c r="F65" s="7" t="n">
        <f aca="false">E65/B65</f>
        <v>0.272727272727273</v>
      </c>
      <c r="G65" s="4" t="n">
        <v>26488</v>
      </c>
      <c r="H65" s="7" t="n">
        <f aca="false">B65/$B$5</f>
        <v>0.00179787523835467</v>
      </c>
      <c r="I65" s="10" t="n">
        <f aca="false">D65/$B$7</f>
        <v>0.223385998365568</v>
      </c>
    </row>
    <row r="66" customFormat="false" ht="15" hidden="false" customHeight="false" outlineLevel="0" collapsed="false">
      <c r="A66" s="9" t="s">
        <v>90</v>
      </c>
      <c r="B66" s="4" t="n">
        <v>30</v>
      </c>
      <c r="C66" s="4" t="n">
        <v>2</v>
      </c>
      <c r="D66" s="5" t="n">
        <f aca="false">B66/C66</f>
        <v>15</v>
      </c>
      <c r="E66" s="4" t="n">
        <v>0</v>
      </c>
      <c r="F66" s="7" t="n">
        <f aca="false">E66/B66</f>
        <v>0</v>
      </c>
      <c r="G66" s="4" t="n">
        <v>26731</v>
      </c>
      <c r="H66" s="7" t="n">
        <f aca="false">B66/$B$5</f>
        <v>0.00163443203486788</v>
      </c>
      <c r="I66" s="10" t="n">
        <f aca="false">D66/$B$7</f>
        <v>0.406156360664669</v>
      </c>
    </row>
    <row r="67" customFormat="false" ht="15" hidden="false" customHeight="false" outlineLevel="0" collapsed="false">
      <c r="A67" s="9" t="s">
        <v>91</v>
      </c>
      <c r="B67" s="4" t="n">
        <v>30</v>
      </c>
      <c r="C67" s="4" t="n">
        <v>2</v>
      </c>
      <c r="D67" s="5" t="n">
        <f aca="false">B67/C67</f>
        <v>15</v>
      </c>
      <c r="E67" s="4" t="n">
        <v>4</v>
      </c>
      <c r="F67" s="7" t="n">
        <f aca="false">E67/B67</f>
        <v>0.133333333333333</v>
      </c>
      <c r="G67" s="4" t="n">
        <v>27157</v>
      </c>
      <c r="H67" s="7" t="n">
        <f aca="false">B67/$B$5</f>
        <v>0.00163443203486788</v>
      </c>
      <c r="I67" s="10" t="n">
        <f aca="false">D67/$B$7</f>
        <v>0.406156360664669</v>
      </c>
    </row>
    <row r="68" customFormat="false" ht="15" hidden="false" customHeight="false" outlineLevel="0" collapsed="false">
      <c r="A68" s="9" t="s">
        <v>92</v>
      </c>
      <c r="B68" s="4" t="n">
        <v>26</v>
      </c>
      <c r="C68" s="4" t="n">
        <v>1</v>
      </c>
      <c r="D68" s="5" t="n">
        <f aca="false">B68/C68</f>
        <v>26</v>
      </c>
      <c r="E68" s="4" t="n">
        <v>0</v>
      </c>
      <c r="F68" s="7" t="n">
        <f aca="false">E68/B68</f>
        <v>0</v>
      </c>
      <c r="G68" s="4" t="n">
        <v>27362</v>
      </c>
      <c r="H68" s="7" t="n">
        <f aca="false">B68/$B$5</f>
        <v>0.00141650776355217</v>
      </c>
      <c r="I68" s="10" t="n">
        <f aca="false">D68/$B$7</f>
        <v>0.704004358485426</v>
      </c>
    </row>
    <row r="69" customFormat="false" ht="15" hidden="false" customHeight="false" outlineLevel="0" collapsed="false">
      <c r="A69" s="9" t="s">
        <v>93</v>
      </c>
      <c r="B69" s="4" t="n">
        <v>16</v>
      </c>
      <c r="C69" s="4" t="n">
        <v>1</v>
      </c>
      <c r="D69" s="5" t="n">
        <f aca="false">B69/C69</f>
        <v>16</v>
      </c>
      <c r="E69" s="4" t="n">
        <v>6</v>
      </c>
      <c r="F69" s="7" t="n">
        <f aca="false">E69/B69</f>
        <v>0.375</v>
      </c>
      <c r="G69" s="4" t="n">
        <v>31127</v>
      </c>
      <c r="H69" s="7" t="n">
        <f aca="false">B69/$B$5</f>
        <v>0.000871697085262871</v>
      </c>
      <c r="I69" s="10" t="n">
        <f aca="false">D69/$B$7</f>
        <v>0.433233451375647</v>
      </c>
    </row>
    <row r="70" customFormat="false" ht="15" hidden="false" customHeight="false" outlineLevel="0" collapsed="false">
      <c r="A70" s="11" t="s">
        <v>94</v>
      </c>
      <c r="B70" s="12" t="n">
        <f aca="false">SUM(B20:B69)</f>
        <v>18355</v>
      </c>
    </row>
    <row r="72" customFormat="false" ht="15" hidden="false" customHeight="false" outlineLevel="0" collapsed="false">
      <c r="A72" s="1" t="s">
        <v>95</v>
      </c>
    </row>
    <row r="73" customFormat="false" ht="23.85" hidden="false" customHeight="false" outlineLevel="0" collapsed="false">
      <c r="A73" s="8" t="s">
        <v>96</v>
      </c>
      <c r="B73" s="8" t="s">
        <v>37</v>
      </c>
      <c r="C73" s="8" t="s">
        <v>97</v>
      </c>
      <c r="D73" s="8" t="s">
        <v>40</v>
      </c>
      <c r="E73" s="8" t="s">
        <v>29</v>
      </c>
      <c r="F73" s="8" t="s">
        <v>41</v>
      </c>
    </row>
    <row r="74" customFormat="false" ht="15" hidden="false" customHeight="false" outlineLevel="0" collapsed="false">
      <c r="A74" s="9" t="s">
        <v>98</v>
      </c>
      <c r="B74" s="4" t="n">
        <v>9107</v>
      </c>
      <c r="C74" s="7" t="n">
        <f aca="false">B74/$B$5</f>
        <v>0.496159084718061</v>
      </c>
      <c r="D74" s="4" t="n">
        <v>587</v>
      </c>
      <c r="E74" s="7" t="n">
        <f aca="false">D74/B74</f>
        <v>0.06445591303393</v>
      </c>
      <c r="F74" s="4" t="n">
        <v>32382</v>
      </c>
    </row>
    <row r="75" customFormat="false" ht="15" hidden="false" customHeight="false" outlineLevel="0" collapsed="false">
      <c r="A75" s="9" t="s">
        <v>99</v>
      </c>
      <c r="B75" s="4" t="n">
        <v>5033</v>
      </c>
      <c r="C75" s="7" t="n">
        <f aca="false">B75/$B$5</f>
        <v>0.274203214383002</v>
      </c>
      <c r="D75" s="4" t="n">
        <v>260</v>
      </c>
      <c r="E75" s="7" t="n">
        <f aca="false">D75/B75</f>
        <v>0.0516590502682297</v>
      </c>
      <c r="F75" s="4" t="n">
        <v>20393</v>
      </c>
    </row>
    <row r="76" customFormat="false" ht="15" hidden="false" customHeight="false" outlineLevel="0" collapsed="false">
      <c r="A76" s="9" t="s">
        <v>100</v>
      </c>
      <c r="B76" s="4" t="n">
        <v>1768</v>
      </c>
      <c r="C76" s="7" t="n">
        <f aca="false">B76/$B$5</f>
        <v>0.0963225279215473</v>
      </c>
      <c r="D76" s="4" t="n">
        <v>76</v>
      </c>
      <c r="E76" s="7" t="n">
        <f aca="false">D76/B76</f>
        <v>0.0429864253393665</v>
      </c>
      <c r="F76" s="4" t="n">
        <v>39900</v>
      </c>
    </row>
    <row r="77" customFormat="false" ht="15" hidden="false" customHeight="false" outlineLevel="0" collapsed="false">
      <c r="A77" s="9" t="s">
        <v>101</v>
      </c>
      <c r="B77" s="4" t="n">
        <v>1463</v>
      </c>
      <c r="C77" s="7" t="n">
        <f aca="false">B77/$B$5</f>
        <v>0.0797058022337238</v>
      </c>
      <c r="D77" s="4" t="n">
        <v>73</v>
      </c>
      <c r="E77" s="7" t="n">
        <f aca="false">D77/B77</f>
        <v>0.0498974709501025</v>
      </c>
      <c r="F77" s="4" t="n">
        <v>11810</v>
      </c>
    </row>
    <row r="78" customFormat="false" ht="15" hidden="false" customHeight="false" outlineLevel="0" collapsed="false">
      <c r="A78" s="9" t="s">
        <v>102</v>
      </c>
      <c r="B78" s="4" t="n">
        <v>984</v>
      </c>
      <c r="C78" s="7" t="n">
        <f aca="false">B78/$B$5</f>
        <v>0.0536093707436666</v>
      </c>
      <c r="D78" s="4" t="n">
        <v>122</v>
      </c>
      <c r="E78" s="7" t="n">
        <f aca="false">D78/B78</f>
        <v>0.123983739837398</v>
      </c>
      <c r="F78" s="4" t="n">
        <v>22120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3"/>
    <col collapsed="false" customWidth="true" hidden="false" outlineLevel="0" max="16" min="13" style="0" width="13"/>
  </cols>
  <sheetData>
    <row r="1" customFormat="false" ht="15" hidden="false" customHeight="false" outlineLevel="0" collapsed="false">
      <c r="A1" s="3" t="s">
        <v>103</v>
      </c>
    </row>
    <row r="3" customFormat="false" ht="35.05" hidden="false" customHeight="false" outlineLevel="0" collapsed="false">
      <c r="A3" s="8" t="s">
        <v>104</v>
      </c>
      <c r="B3" s="8" t="s">
        <v>105</v>
      </c>
      <c r="C3" s="8" t="s">
        <v>106</v>
      </c>
      <c r="D3" s="8" t="s">
        <v>107</v>
      </c>
      <c r="E3" s="8" t="s">
        <v>108</v>
      </c>
      <c r="F3" s="8" t="s">
        <v>109</v>
      </c>
      <c r="G3" s="8" t="s">
        <v>110</v>
      </c>
      <c r="H3" s="8" t="s">
        <v>111</v>
      </c>
      <c r="I3" s="8" t="s">
        <v>112</v>
      </c>
      <c r="J3" s="8" t="s">
        <v>113</v>
      </c>
      <c r="K3" s="8" t="s">
        <v>114</v>
      </c>
      <c r="M3" s="13" t="s">
        <v>115</v>
      </c>
      <c r="N3" s="13" t="s">
        <v>116</v>
      </c>
      <c r="O3" s="13" t="s">
        <v>117</v>
      </c>
      <c r="P3" s="13" t="s">
        <v>118</v>
      </c>
    </row>
    <row r="4" customFormat="false" ht="15" hidden="false" customHeight="false" outlineLevel="0" collapsed="false">
      <c r="A4" s="9" t="s">
        <v>119</v>
      </c>
      <c r="B4" s="6" t="n">
        <v>69.1</v>
      </c>
      <c r="C4" s="6" t="n">
        <v>2.5</v>
      </c>
      <c r="D4" s="6" t="n">
        <v>1</v>
      </c>
      <c r="E4" s="6" t="n">
        <v>5.3</v>
      </c>
      <c r="F4" s="6" t="n">
        <v>13.3</v>
      </c>
      <c r="G4" s="6" t="n">
        <v>51.2</v>
      </c>
      <c r="H4" s="6" t="n">
        <v>22.6</v>
      </c>
      <c r="I4" s="6" t="n">
        <v>11.2</v>
      </c>
      <c r="J4" s="6" t="n">
        <v>4.7</v>
      </c>
      <c r="K4" s="4"/>
    </row>
    <row r="5" customFormat="false" ht="15" hidden="false" customHeight="false" outlineLevel="0" collapsed="false">
      <c r="A5" s="9" t="s">
        <v>120</v>
      </c>
      <c r="B5" s="6" t="n">
        <v>70</v>
      </c>
      <c r="C5" s="6" t="n">
        <v>2.9</v>
      </c>
      <c r="D5" s="6" t="n">
        <v>1.6</v>
      </c>
      <c r="E5" s="6" t="n">
        <v>6.6</v>
      </c>
      <c r="F5" s="6" t="n">
        <v>14.2</v>
      </c>
      <c r="G5" s="6" t="n">
        <v>58.8</v>
      </c>
      <c r="H5" s="6" t="n">
        <v>29</v>
      </c>
      <c r="I5" s="6" t="n">
        <v>12.7</v>
      </c>
      <c r="J5" s="6" t="n">
        <v>5.9</v>
      </c>
      <c r="K5" s="4"/>
    </row>
    <row r="6" customFormat="false" ht="15" hidden="false" customHeight="false" outlineLevel="0" collapsed="false">
      <c r="A6" s="9" t="s">
        <v>121</v>
      </c>
      <c r="B6" s="6" t="n">
        <v>92.6</v>
      </c>
      <c r="C6" s="6" t="n">
        <v>4.2</v>
      </c>
      <c r="D6" s="6" t="n">
        <v>2.2</v>
      </c>
      <c r="E6" s="6" t="n">
        <v>8.7</v>
      </c>
      <c r="F6" s="6" t="n">
        <v>16.9</v>
      </c>
      <c r="G6" s="6" t="n">
        <v>71.8</v>
      </c>
      <c r="H6" s="6" t="n">
        <v>34.7</v>
      </c>
      <c r="I6" s="6" t="n">
        <v>15.2</v>
      </c>
      <c r="J6" s="6" t="n">
        <v>7.8</v>
      </c>
      <c r="K6" s="4"/>
    </row>
    <row r="7" customFormat="false" ht="15" hidden="false" customHeight="false" outlineLevel="0" collapsed="false">
      <c r="A7" s="9" t="s">
        <v>122</v>
      </c>
      <c r="B7" s="6" t="n">
        <v>82.2</v>
      </c>
      <c r="C7" s="6" t="n">
        <v>4.7</v>
      </c>
      <c r="D7" s="6" t="n">
        <v>2</v>
      </c>
      <c r="E7" s="6" t="n">
        <v>7.9</v>
      </c>
      <c r="F7" s="6" t="n">
        <v>16.4</v>
      </c>
      <c r="G7" s="6" t="n">
        <v>61.7</v>
      </c>
      <c r="H7" s="6" t="n">
        <v>28.7</v>
      </c>
      <c r="I7" s="6" t="n">
        <v>13.4</v>
      </c>
      <c r="J7" s="6" t="n">
        <v>7</v>
      </c>
      <c r="K7" s="4"/>
    </row>
    <row r="8" customFormat="false" ht="15" hidden="false" customHeight="false" outlineLevel="0" collapsed="false">
      <c r="A8" s="9" t="s">
        <v>123</v>
      </c>
      <c r="B8" s="6" t="n">
        <v>58.2</v>
      </c>
      <c r="C8" s="6" t="n">
        <v>3</v>
      </c>
      <c r="D8" s="6" t="n">
        <v>1.3</v>
      </c>
      <c r="E8" s="6" t="n">
        <v>5.2</v>
      </c>
      <c r="F8" s="6" t="n">
        <v>12</v>
      </c>
      <c r="G8" s="6" t="n">
        <v>39.8</v>
      </c>
      <c r="H8" s="6" t="n">
        <v>19</v>
      </c>
      <c r="I8" s="6" t="n">
        <v>8.9</v>
      </c>
      <c r="J8" s="6" t="n">
        <v>4.2</v>
      </c>
      <c r="K8" s="4"/>
      <c r="M8" s="7" t="n">
        <f aca="false">IF(OR(B8="",B4=""),"",B8/B4-1)</f>
        <v>-0.157742402315485</v>
      </c>
      <c r="N8" s="7" t="n">
        <f aca="false">IF(OR(G8="",G4=""),"",G8/G4-1)</f>
        <v>-0.22265625</v>
      </c>
      <c r="O8" s="7" t="n">
        <f aca="false">IF(OR(H8="",H4=""),"",H8/H4-1)</f>
        <v>-0.15929203539823</v>
      </c>
      <c r="P8" s="7" t="str">
        <f aca="false">IF(OR(K8="",K4=""),"",K8/K4-1)</f>
        <v/>
      </c>
    </row>
    <row r="9" customFormat="false" ht="15" hidden="false" customHeight="false" outlineLevel="0" collapsed="false">
      <c r="A9" s="9" t="s">
        <v>124</v>
      </c>
      <c r="B9" s="6" t="n">
        <v>66</v>
      </c>
      <c r="C9" s="6" t="n">
        <v>3.2</v>
      </c>
      <c r="D9" s="6" t="n">
        <v>1.4</v>
      </c>
      <c r="E9" s="6" t="n">
        <v>6.1</v>
      </c>
      <c r="F9" s="6" t="n">
        <v>12.2</v>
      </c>
      <c r="G9" s="6" t="n">
        <v>48</v>
      </c>
      <c r="H9" s="6" t="n">
        <v>23.6</v>
      </c>
      <c r="I9" s="6" t="n">
        <v>10.7</v>
      </c>
      <c r="J9" s="6" t="n">
        <v>5.7</v>
      </c>
      <c r="K9" s="4"/>
      <c r="M9" s="7" t="n">
        <f aca="false">IF(OR(B9="",B5=""),"",B9/B5-1)</f>
        <v>-0.0571428571428572</v>
      </c>
      <c r="N9" s="7" t="n">
        <f aca="false">IF(OR(G9="",G5=""),"",G9/G5-1)</f>
        <v>-0.183673469387755</v>
      </c>
      <c r="O9" s="7" t="n">
        <f aca="false">IF(OR(H9="",H5=""),"",H9/H5-1)</f>
        <v>-0.186206896551724</v>
      </c>
      <c r="P9" s="7" t="str">
        <f aca="false">IF(OR(K9="",K5=""),"",K9/K5-1)</f>
        <v/>
      </c>
    </row>
    <row r="10" customFormat="false" ht="15" hidden="false" customHeight="false" outlineLevel="0" collapsed="false">
      <c r="A10" s="9" t="s">
        <v>125</v>
      </c>
      <c r="B10" s="6" t="n">
        <v>88.9</v>
      </c>
      <c r="C10" s="6" t="n">
        <v>4.6</v>
      </c>
      <c r="D10" s="6" t="n">
        <v>2</v>
      </c>
      <c r="E10" s="6" t="n">
        <v>8.5</v>
      </c>
      <c r="F10" s="6" t="n">
        <v>15.8</v>
      </c>
      <c r="G10" s="6" t="n">
        <v>61.4</v>
      </c>
      <c r="H10" s="6" t="n">
        <v>30.4</v>
      </c>
      <c r="I10" s="6" t="n">
        <v>14.4</v>
      </c>
      <c r="J10" s="6" t="n">
        <v>8.2</v>
      </c>
      <c r="K10" s="4"/>
      <c r="M10" s="7" t="n">
        <f aca="false">IF(OR(B10="",B6=""),"",B10/B6-1)</f>
        <v>-0.0399568034557234</v>
      </c>
      <c r="N10" s="7" t="n">
        <f aca="false">IF(OR(G10="",G6=""),"",G10/G6-1)</f>
        <v>-0.144846796657382</v>
      </c>
      <c r="O10" s="7" t="n">
        <f aca="false">IF(OR(H10="",H6=""),"",H10/H6-1)</f>
        <v>-0.123919308357349</v>
      </c>
      <c r="P10" s="7" t="str">
        <f aca="false">IF(OR(K10="",K6=""),"",K10/K6-1)</f>
        <v/>
      </c>
    </row>
    <row r="11" customFormat="false" ht="15" hidden="false" customHeight="false" outlineLevel="0" collapsed="false">
      <c r="A11" s="9" t="s">
        <v>126</v>
      </c>
      <c r="B11" s="6" t="n">
        <v>79.5</v>
      </c>
      <c r="C11" s="6" t="n">
        <v>4.2</v>
      </c>
      <c r="D11" s="6" t="n">
        <v>2</v>
      </c>
      <c r="E11" s="6" t="n">
        <v>7.2</v>
      </c>
      <c r="F11" s="6" t="n">
        <v>15.5</v>
      </c>
      <c r="G11" s="6" t="n">
        <v>54.1</v>
      </c>
      <c r="H11" s="6" t="n">
        <v>28.2</v>
      </c>
      <c r="I11" s="6" t="n">
        <v>13.1</v>
      </c>
      <c r="J11" s="6" t="n">
        <v>7.1</v>
      </c>
      <c r="K11" s="4"/>
      <c r="M11" s="7" t="n">
        <f aca="false">IF(OR(B11="",B7=""),"",B11/B7-1)</f>
        <v>-0.0328467153284672</v>
      </c>
      <c r="N11" s="7" t="n">
        <f aca="false">IF(OR(G11="",G7=""),"",G11/G7-1)</f>
        <v>-0.123176661264182</v>
      </c>
      <c r="O11" s="7" t="n">
        <f aca="false">IF(OR(H11="",H7=""),"",H11/H7-1)</f>
        <v>-0.0174216027874564</v>
      </c>
      <c r="P11" s="7" t="str">
        <f aca="false">IF(OR(K11="",K7=""),"",K11/K7-1)</f>
        <v/>
      </c>
    </row>
    <row r="12" customFormat="false" ht="15" hidden="false" customHeight="false" outlineLevel="0" collapsed="false">
      <c r="A12" s="9" t="s">
        <v>127</v>
      </c>
      <c r="B12" s="6" t="n">
        <v>56.5</v>
      </c>
      <c r="C12" s="6" t="n">
        <v>3.3</v>
      </c>
      <c r="D12" s="6" t="n">
        <v>1.2</v>
      </c>
      <c r="E12" s="6" t="n">
        <v>5</v>
      </c>
      <c r="F12" s="6" t="n">
        <v>13.1</v>
      </c>
      <c r="G12" s="6" t="n">
        <v>40.2</v>
      </c>
      <c r="H12" s="6" t="n">
        <v>21.8</v>
      </c>
      <c r="I12" s="6" t="n">
        <v>10.1</v>
      </c>
      <c r="J12" s="6" t="n">
        <v>5.7</v>
      </c>
      <c r="K12" s="4"/>
      <c r="M12" s="7" t="n">
        <f aca="false">IF(OR(B12="",B8=""),"",B12/B8-1)</f>
        <v>-0.0292096219931272</v>
      </c>
      <c r="N12" s="7" t="n">
        <f aca="false">IF(OR(G12="",G8=""),"",G12/G8-1)</f>
        <v>0.0100502512562815</v>
      </c>
      <c r="O12" s="7" t="n">
        <f aca="false">IF(OR(H12="",H8=""),"",H12/H8-1)</f>
        <v>0.147368421052632</v>
      </c>
      <c r="P12" s="7" t="str">
        <f aca="false">IF(OR(K12="",K8=""),"",K12/K8-1)</f>
        <v/>
      </c>
    </row>
    <row r="13" customFormat="false" ht="15" hidden="false" customHeight="false" outlineLevel="0" collapsed="false">
      <c r="A13" s="9" t="s">
        <v>128</v>
      </c>
      <c r="B13" s="6" t="n">
        <v>59.2</v>
      </c>
      <c r="C13" s="6" t="n">
        <v>3.2</v>
      </c>
      <c r="D13" s="6" t="n">
        <v>1.4</v>
      </c>
      <c r="E13" s="6" t="n">
        <v>5.5</v>
      </c>
      <c r="F13" s="6" t="n">
        <v>13.8</v>
      </c>
      <c r="G13" s="6" t="n">
        <v>41.5</v>
      </c>
      <c r="H13" s="6" t="n">
        <v>23.5</v>
      </c>
      <c r="I13" s="6" t="n">
        <v>10</v>
      </c>
      <c r="J13" s="6" t="n">
        <v>5.3</v>
      </c>
      <c r="K13" s="4" t="n">
        <v>27486</v>
      </c>
      <c r="M13" s="7" t="n">
        <f aca="false">IF(OR(B13="",B9=""),"",B13/B9-1)</f>
        <v>-0.103030303030303</v>
      </c>
      <c r="N13" s="7" t="n">
        <f aca="false">IF(OR(G13="",G9=""),"",G13/G9-1)</f>
        <v>-0.135416666666667</v>
      </c>
      <c r="O13" s="7" t="n">
        <f aca="false">IF(OR(H13="",H9=""),"",H13/H9-1)</f>
        <v>-0.00423728813559332</v>
      </c>
      <c r="P13" s="7" t="str">
        <f aca="false">IF(OR(K13="",K9=""),"",K13/K9-1)</f>
        <v/>
      </c>
    </row>
    <row r="14" customFormat="false" ht="15" hidden="false" customHeight="false" outlineLevel="0" collapsed="false">
      <c r="A14" s="9" t="s">
        <v>129</v>
      </c>
      <c r="B14" s="6" t="n">
        <v>73.2</v>
      </c>
      <c r="C14" s="6" t="n">
        <v>4</v>
      </c>
      <c r="D14" s="6" t="n">
        <v>2</v>
      </c>
      <c r="E14" s="6" t="n">
        <v>7.3</v>
      </c>
      <c r="F14" s="6" t="n">
        <v>16.7</v>
      </c>
      <c r="G14" s="6" t="n">
        <v>45.2</v>
      </c>
      <c r="H14" s="6" t="n">
        <v>27.1</v>
      </c>
      <c r="I14" s="6" t="n">
        <v>12.9</v>
      </c>
      <c r="J14" s="6" t="n">
        <v>6</v>
      </c>
      <c r="K14" s="4" t="n">
        <v>34800</v>
      </c>
      <c r="M14" s="7" t="n">
        <f aca="false">IF(OR(B14="",B10=""),"",B14/B10-1)</f>
        <v>-0.176602924634421</v>
      </c>
      <c r="N14" s="7" t="n">
        <f aca="false">IF(OR(G14="",G10=""),"",G14/G10-1)</f>
        <v>-0.263843648208469</v>
      </c>
      <c r="O14" s="7" t="n">
        <f aca="false">IF(OR(H14="",H10=""),"",H14/H10-1)</f>
        <v>-0.108552631578947</v>
      </c>
      <c r="P14" s="7" t="str">
        <f aca="false">IF(OR(K14="",K10=""),"",K14/K10-1)</f>
        <v/>
      </c>
    </row>
    <row r="15" customFormat="false" ht="15" hidden="false" customHeight="false" outlineLevel="0" collapsed="false">
      <c r="A15" s="9" t="s">
        <v>130</v>
      </c>
      <c r="B15" s="6" t="n">
        <v>72.6</v>
      </c>
      <c r="C15" s="6" t="n">
        <v>4</v>
      </c>
      <c r="D15" s="6" t="n">
        <v>1.9</v>
      </c>
      <c r="E15" s="6" t="n">
        <v>7.5</v>
      </c>
      <c r="F15" s="6" t="n">
        <v>15.8</v>
      </c>
      <c r="G15" s="6" t="n">
        <v>43.2</v>
      </c>
      <c r="H15" s="6" t="n">
        <v>26</v>
      </c>
      <c r="I15" s="6" t="n">
        <v>11.8</v>
      </c>
      <c r="J15" s="6" t="n">
        <v>6.3</v>
      </c>
      <c r="K15" s="4" t="n">
        <v>24573</v>
      </c>
      <c r="M15" s="7" t="n">
        <f aca="false">IF(OR(B15="",B11=""),"",B15/B11-1)</f>
        <v>-0.0867924528301888</v>
      </c>
      <c r="N15" s="7" t="n">
        <f aca="false">IF(OR(G15="",G11=""),"",G15/G11-1)</f>
        <v>-0.201478743068392</v>
      </c>
      <c r="O15" s="7" t="n">
        <f aca="false">IF(OR(H15="",H11=""),"",H15/H11-1)</f>
        <v>-0.0780141843971631</v>
      </c>
      <c r="P15" s="7" t="str">
        <f aca="false">IF(OR(K15="",K11=""),"",K15/K11-1)</f>
        <v/>
      </c>
    </row>
    <row r="16" customFormat="false" ht="15" hidden="false" customHeight="false" outlineLevel="0" collapsed="false">
      <c r="A16" s="9" t="s">
        <v>131</v>
      </c>
      <c r="B16" s="6" t="n">
        <v>47.5</v>
      </c>
      <c r="C16" s="6" t="n">
        <v>3.2</v>
      </c>
      <c r="D16" s="6" t="n">
        <v>1.1</v>
      </c>
      <c r="E16" s="6" t="n">
        <v>4.1</v>
      </c>
      <c r="F16" s="6" t="n">
        <v>13.4</v>
      </c>
      <c r="G16" s="6" t="n">
        <v>28.9</v>
      </c>
      <c r="H16" s="6" t="n">
        <v>17.1</v>
      </c>
      <c r="I16" s="6" t="n">
        <v>8.3</v>
      </c>
      <c r="J16" s="6" t="n">
        <v>3.1</v>
      </c>
      <c r="K16" s="4" t="n">
        <v>15127</v>
      </c>
      <c r="M16" s="7" t="n">
        <f aca="false">IF(OR(B16="",B12=""),"",B16/B12-1)</f>
        <v>-0.15929203539823</v>
      </c>
      <c r="N16" s="7" t="n">
        <f aca="false">IF(OR(G16="",G12=""),"",G16/G12-1)</f>
        <v>-0.281094527363184</v>
      </c>
      <c r="O16" s="7" t="n">
        <f aca="false">IF(OR(H16="",H12=""),"",H16/H12-1)</f>
        <v>-0.215596330275229</v>
      </c>
      <c r="P16" s="7" t="str">
        <f aca="false">IF(OR(K16="",K12=""),"",K16/K12-1)</f>
        <v/>
      </c>
    </row>
    <row r="17" customFormat="false" ht="15" hidden="false" customHeight="false" outlineLevel="0" collapsed="false">
      <c r="A17" s="9" t="s">
        <v>132</v>
      </c>
      <c r="B17" s="6" t="n">
        <v>50.1</v>
      </c>
      <c r="C17" s="6" t="n">
        <v>3.2</v>
      </c>
      <c r="D17" s="6" t="n">
        <v>1.2</v>
      </c>
      <c r="E17" s="6" t="n">
        <v>4.5</v>
      </c>
      <c r="F17" s="6" t="n">
        <v>13.6</v>
      </c>
      <c r="G17" s="6" t="n">
        <v>33.2</v>
      </c>
      <c r="H17" s="6" t="n">
        <v>19.4</v>
      </c>
      <c r="I17" s="6" t="n">
        <v>9.7</v>
      </c>
      <c r="J17" s="6" t="n">
        <v>3.7</v>
      </c>
      <c r="K17" s="4" t="n">
        <v>20892</v>
      </c>
      <c r="M17" s="7" t="n">
        <f aca="false">IF(OR(B17="",B13=""),"",B17/B13-1)</f>
        <v>-0.153716216216216</v>
      </c>
      <c r="N17" s="7" t="n">
        <f aca="false">IF(OR(G17="",G13=""),"",G17/G13-1)</f>
        <v>-0.2</v>
      </c>
      <c r="O17" s="7" t="n">
        <f aca="false">IF(OR(H17="",H13=""),"",H17/H13-1)</f>
        <v>-0.174468085106383</v>
      </c>
      <c r="P17" s="7" t="n">
        <f aca="false">IF(OR(K17="",K13=""),"",K17/K13-1)</f>
        <v>-0.239903951102379</v>
      </c>
    </row>
    <row r="18" customFormat="false" ht="15" hidden="false" customHeight="false" outlineLevel="0" collapsed="false">
      <c r="A18" s="9" t="s">
        <v>133</v>
      </c>
      <c r="B18" s="6" t="n">
        <v>65.8</v>
      </c>
      <c r="C18" s="6" t="n">
        <v>4.7</v>
      </c>
      <c r="D18" s="6" t="n">
        <v>2</v>
      </c>
      <c r="E18" s="6" t="n">
        <v>6.1</v>
      </c>
      <c r="F18" s="6" t="n">
        <v>17</v>
      </c>
      <c r="G18" s="6" t="n">
        <v>41.5</v>
      </c>
      <c r="H18" s="6" t="n">
        <v>25.5</v>
      </c>
      <c r="I18" s="6" t="n">
        <v>13.9</v>
      </c>
      <c r="J18" s="6" t="n">
        <v>5.1</v>
      </c>
      <c r="K18" s="4" t="n">
        <v>28931</v>
      </c>
      <c r="M18" s="7" t="n">
        <f aca="false">IF(OR(B18="",B14=""),"",B18/B14-1)</f>
        <v>-0.101092896174864</v>
      </c>
      <c r="N18" s="7" t="n">
        <f aca="false">IF(OR(G18="",G14=""),"",G18/G14-1)</f>
        <v>-0.0818584070796461</v>
      </c>
      <c r="O18" s="7" t="n">
        <f aca="false">IF(OR(H18="",H14=""),"",H18/H14-1)</f>
        <v>-0.0590405904059042</v>
      </c>
      <c r="P18" s="7" t="n">
        <f aca="false">IF(OR(K18="",K14=""),"",K18/K14-1)</f>
        <v>-0.168649425287356</v>
      </c>
    </row>
    <row r="19" customFormat="false" ht="15" hidden="false" customHeight="false" outlineLevel="0" collapsed="false">
      <c r="A19" s="9" t="s">
        <v>134</v>
      </c>
      <c r="B19" s="6" t="n">
        <v>64.5</v>
      </c>
      <c r="C19" s="6" t="n">
        <v>5.2</v>
      </c>
      <c r="D19" s="6" t="n">
        <v>1.9</v>
      </c>
      <c r="E19" s="6" t="n">
        <v>5.9</v>
      </c>
      <c r="F19" s="6" t="n">
        <v>16.1</v>
      </c>
      <c r="G19" s="6" t="n">
        <v>40.8</v>
      </c>
      <c r="H19" s="6" t="n">
        <v>26.5</v>
      </c>
      <c r="I19" s="6" t="n">
        <v>16</v>
      </c>
      <c r="J19" s="6" t="n">
        <v>5.6</v>
      </c>
      <c r="K19" s="4" t="n">
        <v>23462</v>
      </c>
      <c r="M19" s="7" t="n">
        <f aca="false">IF(OR(B19="",B15=""),"",B19/B15-1)</f>
        <v>-0.111570247933884</v>
      </c>
      <c r="N19" s="7" t="n">
        <f aca="false">IF(OR(G19="",G15=""),"",G19/G15-1)</f>
        <v>-0.0555555555555557</v>
      </c>
      <c r="O19" s="7" t="n">
        <f aca="false">IF(OR(H19="",H15=""),"",H19/H15-1)</f>
        <v>0.0192307692307692</v>
      </c>
      <c r="P19" s="7" t="n">
        <f aca="false">IF(OR(K19="",K15=""),"",K19/K15-1)</f>
        <v>-0.0452122247995768</v>
      </c>
    </row>
    <row r="20" customFormat="false" ht="15" hidden="false" customHeight="false" outlineLevel="0" collapsed="false">
      <c r="A20" s="9" t="s">
        <v>135</v>
      </c>
      <c r="B20" s="6" t="n">
        <v>48</v>
      </c>
      <c r="C20" s="6" t="n">
        <v>5.3</v>
      </c>
      <c r="D20" s="6" t="n">
        <v>1.1</v>
      </c>
      <c r="E20" s="6" t="n">
        <v>4.4</v>
      </c>
      <c r="F20" s="6" t="n">
        <v>13.2</v>
      </c>
      <c r="G20" s="6" t="n">
        <v>30</v>
      </c>
      <c r="H20" s="6" t="n">
        <v>19.7</v>
      </c>
      <c r="I20" s="6" t="n">
        <v>12.4</v>
      </c>
      <c r="J20" s="6" t="n">
        <v>3.5</v>
      </c>
      <c r="K20" s="4" t="n">
        <v>15847</v>
      </c>
      <c r="M20" s="7" t="n">
        <f aca="false">IF(OR(B20="",B16=""),"",B20/B16-1)</f>
        <v>0.0105263157894737</v>
      </c>
      <c r="N20" s="7" t="n">
        <f aca="false">IF(OR(G20="",G16=""),"",G20/G16-1)</f>
        <v>0.0380622837370244</v>
      </c>
      <c r="O20" s="7" t="n">
        <f aca="false">IF(OR(H20="",H16=""),"",H20/H16-1)</f>
        <v>0.152046783625731</v>
      </c>
      <c r="P20" s="7" t="n">
        <f aca="false">IF(OR(K20="",K16=""),"",K20/K16-1)</f>
        <v>0.0475970119653599</v>
      </c>
    </row>
    <row r="21" customFormat="false" ht="15" hidden="false" customHeight="false" outlineLevel="0" collapsed="false">
      <c r="A21" s="9" t="s">
        <v>136</v>
      </c>
      <c r="B21" s="6" t="n">
        <v>52.4</v>
      </c>
      <c r="C21" s="6" t="n">
        <v>7.7</v>
      </c>
      <c r="D21" s="6" t="n">
        <v>1.6</v>
      </c>
      <c r="E21" s="6" t="n">
        <v>5.5</v>
      </c>
      <c r="F21" s="6" t="n">
        <v>14.8</v>
      </c>
      <c r="G21" s="6" t="n">
        <v>35.9</v>
      </c>
      <c r="H21" s="6" t="n">
        <v>28.2</v>
      </c>
      <c r="I21" s="6" t="n">
        <v>17.2</v>
      </c>
      <c r="J21" s="6" t="n">
        <v>5.2</v>
      </c>
      <c r="K21" s="4" t="n">
        <v>23803</v>
      </c>
      <c r="M21" s="7" t="n">
        <f aca="false">IF(OR(B21="",B17=""),"",B21/B17-1)</f>
        <v>0.0459081836327344</v>
      </c>
      <c r="N21" s="7" t="n">
        <f aca="false">IF(OR(G21="",G17=""),"",G21/G17-1)</f>
        <v>0.0813253012048192</v>
      </c>
      <c r="O21" s="7" t="n">
        <f aca="false">IF(OR(H21="",H17=""),"",H21/H17-1)</f>
        <v>0.453608247422681</v>
      </c>
      <c r="P21" s="7" t="n">
        <f aca="false">IF(OR(K21="",K17=""),"",K21/K17-1)</f>
        <v>0.139335630863488</v>
      </c>
    </row>
    <row r="22" customFormat="false" ht="15" hidden="false" customHeight="false" outlineLevel="0" collapsed="false">
      <c r="A22" s="9" t="s">
        <v>137</v>
      </c>
      <c r="B22" s="6" t="n">
        <v>75.8</v>
      </c>
      <c r="C22" s="6" t="n">
        <v>7.4</v>
      </c>
      <c r="D22" s="6" t="n">
        <v>2.1</v>
      </c>
      <c r="E22" s="6" t="n">
        <v>8.2</v>
      </c>
      <c r="F22" s="6" t="n">
        <v>18.7</v>
      </c>
      <c r="G22" s="6" t="n">
        <v>54.3</v>
      </c>
      <c r="H22" s="6" t="n">
        <v>48.7</v>
      </c>
      <c r="I22" s="6" t="n">
        <v>21.8</v>
      </c>
      <c r="J22" s="6" t="n">
        <v>8.5</v>
      </c>
      <c r="K22" s="4" t="n">
        <v>29751</v>
      </c>
      <c r="M22" s="7" t="n">
        <f aca="false">IF(OR(B22="",B18=""),"",B22/B18-1)</f>
        <v>0.151975683890577</v>
      </c>
      <c r="N22" s="7" t="n">
        <f aca="false">IF(OR(G22="",G18=""),"",G22/G18-1)</f>
        <v>0.308433734939759</v>
      </c>
      <c r="O22" s="7" t="n">
        <f aca="false">IF(OR(H22="",H18=""),"",H22/H18-1)</f>
        <v>0.909803921568628</v>
      </c>
      <c r="P22" s="7" t="n">
        <f aca="false">IF(OR(K22="",K18=""),"",K22/K18-1)</f>
        <v>0.0283432995748505</v>
      </c>
    </row>
    <row r="23" customFormat="false" ht="15" hidden="false" customHeight="false" outlineLevel="0" collapsed="false">
      <c r="A23" s="9" t="s">
        <v>138</v>
      </c>
      <c r="B23" s="6" t="n">
        <v>65.7</v>
      </c>
      <c r="C23" s="6" t="n">
        <v>4.6</v>
      </c>
      <c r="D23" s="6" t="n">
        <v>1.7</v>
      </c>
      <c r="E23" s="6" t="n">
        <v>5.7</v>
      </c>
      <c r="F23" s="6" t="n">
        <v>14.9</v>
      </c>
      <c r="G23" s="6" t="n">
        <v>68.9</v>
      </c>
      <c r="H23" s="6" t="n">
        <v>41.4</v>
      </c>
      <c r="I23" s="6" t="n">
        <v>17.1</v>
      </c>
      <c r="J23" s="6" t="n">
        <v>9.7</v>
      </c>
      <c r="K23" s="4"/>
      <c r="M23" s="7" t="n">
        <f aca="false">IF(OR(B23="",B19=""),"",B23/B19-1)</f>
        <v>0.0186046511627906</v>
      </c>
      <c r="N23" s="7" t="n">
        <f aca="false">IF(OR(G23="",G19=""),"",G23/G19-1)</f>
        <v>0.688725490196079</v>
      </c>
      <c r="O23" s="7" t="n">
        <f aca="false">IF(OR(H23="",H19=""),"",H23/H19-1)</f>
        <v>0.562264150943396</v>
      </c>
      <c r="P23" s="7" t="str">
        <f aca="false">IF(OR(K23="",K19=""),"",K23/K19-1)</f>
        <v/>
      </c>
    </row>
    <row r="25" customFormat="false" ht="15" hidden="false" customHeight="false" outlineLevel="0" collapsed="false">
      <c r="A25" s="2" t="s">
        <v>139</v>
      </c>
      <c r="B25" s="10" t="n">
        <f aca="false">CORREL(M17:M22,P17:P22)</f>
        <v>0.773971993832739</v>
      </c>
    </row>
    <row r="26" customFormat="false" ht="15" hidden="false" customHeight="false" outlineLevel="0" collapsed="false">
      <c r="A26" s="2" t="s">
        <v>140</v>
      </c>
      <c r="B26" s="10" t="n">
        <f aca="false">CORREL(N17:N22,P17:P22)</f>
        <v>0.725322029354523</v>
      </c>
    </row>
    <row r="27" customFormat="false" ht="15" hidden="false" customHeight="false" outlineLevel="0" collapsed="false">
      <c r="A27" s="2" t="s">
        <v>141</v>
      </c>
      <c r="B27" s="10" t="n">
        <f aca="false">SLOPE(P17:P22,M17:M22)</f>
        <v>0.947289915570401</v>
      </c>
    </row>
    <row r="28" customFormat="false" ht="15" hidden="false" customHeight="false" outlineLevel="0" collapsed="false">
      <c r="A28" s="2" t="s">
        <v>142</v>
      </c>
      <c r="B28" s="7" t="n">
        <f aca="false">INTERCEPT(P17:P22,M17:M22)</f>
        <v>-0.0148078417385036</v>
      </c>
    </row>
    <row r="29" customFormat="false" ht="15" hidden="false" customHeight="false" outlineLevel="0" collapsed="false">
      <c r="A29" s="2" t="s">
        <v>143</v>
      </c>
      <c r="B29" s="7" t="n">
        <f aca="false">M23</f>
        <v>0.0186046511627906</v>
      </c>
    </row>
    <row r="30" customFormat="false" ht="15" hidden="false" customHeight="false" outlineLevel="0" collapsed="false">
      <c r="A30" s="1" t="s">
        <v>144</v>
      </c>
      <c r="B30" s="14" t="n">
        <f aca="false">B28+B27*B29</f>
        <v>0.00281615669071314</v>
      </c>
    </row>
    <row r="31" customFormat="false" ht="15" hidden="false" customHeight="false" outlineLevel="0" collapsed="false">
      <c r="A31" s="1" t="s">
        <v>145</v>
      </c>
      <c r="B31" s="15" t="n">
        <v>23462</v>
      </c>
    </row>
    <row r="32" customFormat="false" ht="15" hidden="false" customHeight="false" outlineLevel="0" collapsed="false">
      <c r="A32" s="1" t="s">
        <v>146</v>
      </c>
      <c r="B32" s="16" t="n">
        <f aca="false">B31*(1+B30)</f>
        <v>23528.0726682775</v>
      </c>
    </row>
    <row r="34" customFormat="false" ht="15" hidden="false" customHeight="false" outlineLevel="0" collapsed="false">
      <c r="A34" s="1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3"/>
  </cols>
  <sheetData>
    <row r="1" customFormat="false" ht="15" hidden="false" customHeight="false" outlineLevel="0" collapsed="false">
      <c r="A1" s="3" t="s">
        <v>148</v>
      </c>
    </row>
    <row r="3" customFormat="false" ht="15" hidden="false" customHeight="false" outlineLevel="0" collapsed="false">
      <c r="A3" s="18" t="s">
        <v>104</v>
      </c>
      <c r="B3" s="18" t="s">
        <v>149</v>
      </c>
      <c r="C3" s="18" t="s">
        <v>150</v>
      </c>
      <c r="D3" s="18" t="s">
        <v>151</v>
      </c>
      <c r="E3" s="18" t="s">
        <v>152</v>
      </c>
      <c r="F3" s="18" t="s">
        <v>153</v>
      </c>
      <c r="G3" s="18" t="s">
        <v>154</v>
      </c>
      <c r="H3" s="18" t="s">
        <v>155</v>
      </c>
      <c r="I3" s="18" t="s">
        <v>156</v>
      </c>
      <c r="J3" s="18" t="s">
        <v>157</v>
      </c>
      <c r="K3" s="18" t="s">
        <v>158</v>
      </c>
      <c r="L3" s="18" t="s">
        <v>159</v>
      </c>
      <c r="M3" s="18" t="s">
        <v>160</v>
      </c>
    </row>
    <row r="4" customFormat="false" ht="15" hidden="false" customHeight="false" outlineLevel="0" collapsed="false">
      <c r="A4" s="2" t="s">
        <v>119</v>
      </c>
      <c r="B4" s="6" t="n">
        <v>84.7</v>
      </c>
      <c r="C4" s="6" t="n">
        <v>5.3</v>
      </c>
      <c r="D4" s="6" t="n">
        <v>90.2</v>
      </c>
      <c r="E4" s="6" t="n">
        <v>5.2</v>
      </c>
      <c r="F4" s="6" t="n">
        <v>70.3</v>
      </c>
      <c r="G4" s="6" t="n">
        <v>4</v>
      </c>
      <c r="H4" s="6" t="n">
        <v>59.3</v>
      </c>
      <c r="I4" s="6" t="n">
        <v>2.5</v>
      </c>
      <c r="J4" s="6" t="n">
        <v>52.8</v>
      </c>
      <c r="K4" s="6" t="n">
        <v>2.2</v>
      </c>
      <c r="L4" s="6" t="n">
        <v>15.2</v>
      </c>
      <c r="M4" s="6" t="n">
        <v>0.4</v>
      </c>
    </row>
    <row r="5" customFormat="false" ht="15" hidden="false" customHeight="false" outlineLevel="0" collapsed="false">
      <c r="A5" s="2" t="s">
        <v>120</v>
      </c>
      <c r="B5" s="6" t="n">
        <v>85.2</v>
      </c>
      <c r="C5" s="6" t="n">
        <v>5.8</v>
      </c>
      <c r="D5" s="6" t="n">
        <v>81.1</v>
      </c>
      <c r="E5" s="6" t="n">
        <v>5.2</v>
      </c>
      <c r="F5" s="6" t="n">
        <v>70.2</v>
      </c>
      <c r="G5" s="6" t="n">
        <v>3.7</v>
      </c>
      <c r="H5" s="6" t="n">
        <v>59.8</v>
      </c>
      <c r="I5" s="6" t="n">
        <v>3.2</v>
      </c>
      <c r="J5" s="6" t="n">
        <v>56.9</v>
      </c>
      <c r="K5" s="6" t="n">
        <v>3.6</v>
      </c>
      <c r="L5" s="6" t="n">
        <v>17.3</v>
      </c>
      <c r="M5" s="6" t="n">
        <v>0.7</v>
      </c>
    </row>
    <row r="6" customFormat="false" ht="15" hidden="false" customHeight="false" outlineLevel="0" collapsed="false">
      <c r="A6" s="2" t="s">
        <v>121</v>
      </c>
      <c r="B6" s="6" t="n">
        <v>92.5</v>
      </c>
      <c r="C6" s="6" t="n">
        <v>6</v>
      </c>
      <c r="D6" s="6" t="n">
        <v>95.1</v>
      </c>
      <c r="E6" s="6" t="n">
        <v>6</v>
      </c>
      <c r="F6" s="6" t="n">
        <v>67.7</v>
      </c>
      <c r="G6" s="6" t="n">
        <v>3.6</v>
      </c>
      <c r="H6" s="6" t="n">
        <v>86.1</v>
      </c>
      <c r="I6" s="6" t="n">
        <v>4.8</v>
      </c>
      <c r="J6" s="6" t="n">
        <v>83.8</v>
      </c>
      <c r="K6" s="6" t="n">
        <v>4.5</v>
      </c>
      <c r="L6" s="6" t="n">
        <v>25.4</v>
      </c>
      <c r="M6" s="6" t="n">
        <v>1</v>
      </c>
    </row>
    <row r="7" customFormat="false" ht="15" hidden="false" customHeight="false" outlineLevel="0" collapsed="false">
      <c r="A7" s="2" t="s">
        <v>122</v>
      </c>
      <c r="B7" s="6" t="n">
        <v>85.5</v>
      </c>
      <c r="C7" s="6" t="n">
        <v>5.5</v>
      </c>
      <c r="D7" s="6" t="n">
        <v>85.7</v>
      </c>
      <c r="E7" s="6" t="n">
        <v>4.9</v>
      </c>
      <c r="F7" s="6" t="n">
        <v>60.8</v>
      </c>
      <c r="G7" s="6" t="n">
        <v>3.5</v>
      </c>
      <c r="H7" s="6" t="n">
        <v>78.4</v>
      </c>
      <c r="I7" s="6" t="n">
        <v>4.3</v>
      </c>
      <c r="J7" s="6" t="n">
        <v>66.4</v>
      </c>
      <c r="K7" s="6" t="n">
        <v>3.4</v>
      </c>
      <c r="L7" s="6" t="n">
        <v>23.3</v>
      </c>
      <c r="M7" s="6" t="n">
        <v>0.9</v>
      </c>
    </row>
    <row r="8" customFormat="false" ht="15" hidden="false" customHeight="false" outlineLevel="0" collapsed="false">
      <c r="A8" s="2" t="s">
        <v>123</v>
      </c>
      <c r="B8" s="6" t="n">
        <v>70.2</v>
      </c>
      <c r="C8" s="6" t="n">
        <v>3.8</v>
      </c>
      <c r="D8" s="6" t="n">
        <v>72.8</v>
      </c>
      <c r="E8" s="6" t="n">
        <v>3.7</v>
      </c>
      <c r="F8" s="6" t="n">
        <v>61</v>
      </c>
      <c r="G8" s="6" t="n">
        <v>3.2</v>
      </c>
      <c r="H8" s="6" t="n">
        <v>46.8</v>
      </c>
      <c r="I8" s="6" t="n">
        <v>2.2</v>
      </c>
      <c r="J8" s="6" t="n">
        <v>42.6</v>
      </c>
      <c r="K8" s="6" t="n">
        <v>1.5</v>
      </c>
      <c r="L8" s="6" t="n">
        <v>14.1</v>
      </c>
      <c r="M8" s="6" t="n">
        <v>0.3</v>
      </c>
    </row>
    <row r="9" customFormat="false" ht="15" hidden="false" customHeight="false" outlineLevel="0" collapsed="false">
      <c r="A9" s="2" t="s">
        <v>124</v>
      </c>
      <c r="B9" s="6" t="n">
        <v>68.1</v>
      </c>
      <c r="C9" s="6" t="n">
        <v>4.1</v>
      </c>
      <c r="D9" s="6" t="n">
        <v>76.3</v>
      </c>
      <c r="E9" s="6" t="n">
        <v>4.2</v>
      </c>
      <c r="F9" s="6" t="n">
        <v>68</v>
      </c>
      <c r="G9" s="6" t="n">
        <v>3.6</v>
      </c>
      <c r="H9" s="6" t="n">
        <v>56.6</v>
      </c>
      <c r="I9" s="6" t="n">
        <v>2.8</v>
      </c>
      <c r="J9" s="6" t="n">
        <v>52.7</v>
      </c>
      <c r="K9" s="6" t="n">
        <v>2.8</v>
      </c>
      <c r="L9" s="6" t="n">
        <v>18.6</v>
      </c>
      <c r="M9" s="6" t="n">
        <v>0.5</v>
      </c>
    </row>
    <row r="10" customFormat="false" ht="15" hidden="false" customHeight="false" outlineLevel="0" collapsed="false">
      <c r="A10" s="2" t="s">
        <v>125</v>
      </c>
      <c r="B10" s="6" t="n">
        <v>86.4</v>
      </c>
      <c r="C10" s="6" t="n">
        <v>5</v>
      </c>
      <c r="D10" s="6" t="n">
        <v>87.2</v>
      </c>
      <c r="E10" s="6" t="n">
        <v>4.7</v>
      </c>
      <c r="F10" s="6" t="n">
        <v>63.6</v>
      </c>
      <c r="G10" s="6" t="n">
        <v>3.4</v>
      </c>
      <c r="H10" s="6" t="n">
        <v>82</v>
      </c>
      <c r="I10" s="6" t="n">
        <v>3.8</v>
      </c>
      <c r="J10" s="6" t="n">
        <v>79</v>
      </c>
      <c r="K10" s="6" t="n">
        <v>3.8</v>
      </c>
      <c r="L10" s="6" t="n">
        <v>26.7</v>
      </c>
      <c r="M10" s="6" t="n">
        <v>0.9</v>
      </c>
    </row>
    <row r="11" customFormat="false" ht="15" hidden="false" customHeight="false" outlineLevel="0" collapsed="false">
      <c r="A11" s="2" t="s">
        <v>126</v>
      </c>
      <c r="B11" s="6" t="n">
        <v>80.2</v>
      </c>
      <c r="C11" s="6" t="n">
        <v>4.4</v>
      </c>
      <c r="D11" s="6" t="n">
        <v>81</v>
      </c>
      <c r="E11" s="6" t="n">
        <v>4.4</v>
      </c>
      <c r="F11" s="6" t="n">
        <v>56.8</v>
      </c>
      <c r="G11" s="6" t="n">
        <v>3.3</v>
      </c>
      <c r="H11" s="6" t="n">
        <v>70.8</v>
      </c>
      <c r="I11" s="6" t="n">
        <v>3.9</v>
      </c>
      <c r="J11" s="6" t="n">
        <v>62.9</v>
      </c>
      <c r="K11" s="6" t="n">
        <v>3.1</v>
      </c>
      <c r="L11" s="6" t="n">
        <v>30.6</v>
      </c>
      <c r="M11" s="6" t="n">
        <v>1.1</v>
      </c>
    </row>
    <row r="12" customFormat="false" ht="15" hidden="false" customHeight="false" outlineLevel="0" collapsed="false">
      <c r="A12" s="2" t="s">
        <v>127</v>
      </c>
      <c r="B12" s="6" t="n">
        <v>68.2</v>
      </c>
      <c r="C12" s="6" t="n">
        <v>3.5</v>
      </c>
      <c r="D12" s="6" t="n">
        <v>71.2</v>
      </c>
      <c r="E12" s="6" t="n">
        <v>3.6</v>
      </c>
      <c r="F12" s="6" t="n">
        <v>60.5</v>
      </c>
      <c r="G12" s="6" t="n">
        <v>3.1</v>
      </c>
      <c r="H12" s="6" t="n">
        <v>45.4</v>
      </c>
      <c r="I12" s="6" t="n">
        <v>2.2</v>
      </c>
      <c r="J12" s="6" t="n">
        <v>42.8</v>
      </c>
      <c r="K12" s="6" t="n">
        <v>2.5</v>
      </c>
      <c r="L12" s="6" t="n">
        <v>14</v>
      </c>
      <c r="M12" s="6" t="n">
        <v>0.3</v>
      </c>
    </row>
    <row r="13" customFormat="false" ht="15" hidden="false" customHeight="false" outlineLevel="0" collapsed="false">
      <c r="A13" s="2" t="s">
        <v>128</v>
      </c>
      <c r="B13" s="6" t="n">
        <v>62.2</v>
      </c>
      <c r="C13" s="6" t="n">
        <v>3.2</v>
      </c>
      <c r="D13" s="6" t="n">
        <v>69.4</v>
      </c>
      <c r="E13" s="6" t="n">
        <v>4</v>
      </c>
      <c r="F13" s="6" t="n">
        <v>60.5</v>
      </c>
      <c r="G13" s="6" t="n">
        <v>3.1</v>
      </c>
      <c r="H13" s="6" t="n">
        <v>51.8</v>
      </c>
      <c r="I13" s="6" t="n">
        <v>2.2</v>
      </c>
      <c r="J13" s="6" t="n">
        <v>48.5</v>
      </c>
      <c r="K13" s="6" t="n">
        <v>2.9</v>
      </c>
      <c r="L13" s="6" t="n">
        <v>17.7</v>
      </c>
      <c r="M13" s="6" t="n">
        <v>0.5</v>
      </c>
    </row>
    <row r="14" customFormat="false" ht="15" hidden="false" customHeight="false" outlineLevel="0" collapsed="false">
      <c r="A14" s="2" t="s">
        <v>129</v>
      </c>
      <c r="B14" s="6" t="n">
        <v>71.7</v>
      </c>
      <c r="C14" s="6" t="n">
        <v>3.8</v>
      </c>
      <c r="D14" s="6" t="n">
        <v>73.5</v>
      </c>
      <c r="E14" s="6" t="n">
        <v>3.5</v>
      </c>
      <c r="F14" s="6" t="n">
        <v>55.5</v>
      </c>
      <c r="G14" s="6" t="n">
        <v>2.9</v>
      </c>
      <c r="H14" s="6" t="n">
        <v>66.8</v>
      </c>
      <c r="I14" s="6" t="n">
        <v>2.9</v>
      </c>
      <c r="J14" s="6" t="n">
        <v>62.4</v>
      </c>
      <c r="K14" s="6" t="n">
        <v>2.4</v>
      </c>
      <c r="L14" s="6" t="n">
        <v>22.7</v>
      </c>
      <c r="M14" s="6" t="n">
        <v>0.6</v>
      </c>
    </row>
    <row r="15" customFormat="false" ht="15" hidden="false" customHeight="false" outlineLevel="0" collapsed="false">
      <c r="A15" s="2" t="s">
        <v>130</v>
      </c>
      <c r="B15" s="6" t="n">
        <v>73.6</v>
      </c>
      <c r="C15" s="6" t="n">
        <v>4.3</v>
      </c>
      <c r="D15" s="6" t="n">
        <v>74.8</v>
      </c>
      <c r="E15" s="6" t="n">
        <v>3.9</v>
      </c>
      <c r="F15" s="6" t="n">
        <v>51.8</v>
      </c>
      <c r="G15" s="6" t="n">
        <v>2.2</v>
      </c>
      <c r="H15" s="6" t="n">
        <v>65.2</v>
      </c>
      <c r="I15" s="6" t="n">
        <v>2.2</v>
      </c>
      <c r="J15" s="6" t="n">
        <v>60.9</v>
      </c>
      <c r="K15" s="6" t="n">
        <v>2.7</v>
      </c>
      <c r="L15" s="6" t="n">
        <v>26</v>
      </c>
      <c r="M15" s="6" t="n">
        <v>0.6</v>
      </c>
    </row>
    <row r="16" customFormat="false" ht="15" hidden="false" customHeight="false" outlineLevel="0" collapsed="false">
      <c r="A16" s="2" t="s">
        <v>131</v>
      </c>
      <c r="B16" s="6" t="n">
        <v>58</v>
      </c>
      <c r="C16" s="6" t="n">
        <v>2.6</v>
      </c>
      <c r="D16" s="6" t="n">
        <v>63.5</v>
      </c>
      <c r="E16" s="6" t="n">
        <v>2.8</v>
      </c>
      <c r="F16" s="6" t="n">
        <v>48.3</v>
      </c>
      <c r="G16" s="6" t="n">
        <v>2.5</v>
      </c>
      <c r="H16" s="6" t="n">
        <v>37.2</v>
      </c>
      <c r="I16" s="6" t="n">
        <v>1.3</v>
      </c>
      <c r="J16" s="6" t="n">
        <v>33.7</v>
      </c>
      <c r="K16" s="6" t="n">
        <v>0.8</v>
      </c>
      <c r="L16" s="6" t="n">
        <v>11.2</v>
      </c>
      <c r="M16" s="6" t="n">
        <v>0</v>
      </c>
    </row>
    <row r="17" customFormat="false" ht="15" hidden="false" customHeight="false" outlineLevel="0" collapsed="false">
      <c r="A17" s="2" t="s">
        <v>132</v>
      </c>
      <c r="B17" s="6" t="n">
        <v>57.3</v>
      </c>
      <c r="C17" s="6" t="n">
        <v>3</v>
      </c>
      <c r="D17" s="6" t="n">
        <v>57.9</v>
      </c>
      <c r="E17" s="6" t="n">
        <v>3</v>
      </c>
      <c r="F17" s="6" t="n">
        <v>51.8</v>
      </c>
      <c r="G17" s="6" t="n">
        <v>2.5</v>
      </c>
      <c r="H17" s="6" t="n">
        <v>40.5</v>
      </c>
      <c r="I17" s="6" t="n">
        <v>1.6</v>
      </c>
      <c r="J17" s="6" t="n">
        <v>38.2</v>
      </c>
      <c r="K17" s="6" t="n">
        <v>1.5</v>
      </c>
      <c r="L17" s="6" t="n">
        <v>14.6</v>
      </c>
      <c r="M17" s="6" t="n">
        <v>0.2</v>
      </c>
    </row>
    <row r="18" customFormat="false" ht="15" hidden="false" customHeight="false" outlineLevel="0" collapsed="false">
      <c r="A18" s="2" t="s">
        <v>133</v>
      </c>
      <c r="B18" s="6" t="n">
        <v>66.2</v>
      </c>
      <c r="C18" s="6" t="n">
        <v>3.5</v>
      </c>
      <c r="D18" s="6" t="n">
        <v>68.5</v>
      </c>
      <c r="E18" s="6" t="n">
        <v>3.4</v>
      </c>
      <c r="F18" s="6" t="n">
        <v>52.1</v>
      </c>
      <c r="G18" s="6" t="n">
        <v>2.2</v>
      </c>
      <c r="H18" s="6" t="n">
        <v>56.3</v>
      </c>
      <c r="I18" s="6" t="n">
        <v>2.5</v>
      </c>
      <c r="J18" s="6" t="n">
        <v>56.2</v>
      </c>
      <c r="K18" s="6" t="n">
        <v>2.2</v>
      </c>
      <c r="L18" s="6" t="n">
        <v>21.2</v>
      </c>
      <c r="M18" s="6" t="n">
        <v>0.2</v>
      </c>
    </row>
    <row r="19" customFormat="false" ht="15" hidden="false" customHeight="false" outlineLevel="0" collapsed="false">
      <c r="A19" s="2" t="s">
        <v>134</v>
      </c>
      <c r="B19" s="6" t="n">
        <v>67.2</v>
      </c>
      <c r="C19" s="6" t="n">
        <v>3.5</v>
      </c>
      <c r="D19" s="6" t="n">
        <v>69.7</v>
      </c>
      <c r="E19" s="6" t="n">
        <v>3.2</v>
      </c>
      <c r="F19" s="6" t="n">
        <v>48.5</v>
      </c>
      <c r="G19" s="6" t="n">
        <v>1.9</v>
      </c>
      <c r="H19" s="6" t="n">
        <v>56.4</v>
      </c>
      <c r="I19" s="6" t="n">
        <v>2.1</v>
      </c>
      <c r="J19" s="6" t="n">
        <v>54.7</v>
      </c>
      <c r="K19" s="6" t="n">
        <v>2.5</v>
      </c>
      <c r="L19" s="6" t="n">
        <v>22.6</v>
      </c>
      <c r="M19" s="6" t="n">
        <v>0.2</v>
      </c>
    </row>
    <row r="20" customFormat="false" ht="15" hidden="false" customHeight="false" outlineLevel="0" collapsed="false">
      <c r="A20" s="2" t="s">
        <v>135</v>
      </c>
      <c r="B20" s="6" t="n">
        <v>57.6</v>
      </c>
      <c r="C20" s="6" t="n">
        <v>2.9</v>
      </c>
      <c r="D20" s="6" t="n">
        <v>62.6</v>
      </c>
      <c r="E20" s="6" t="n">
        <v>2.8</v>
      </c>
      <c r="F20" s="6" t="n">
        <v>51.4</v>
      </c>
      <c r="G20" s="6" t="n">
        <v>2.5</v>
      </c>
      <c r="H20" s="6" t="n">
        <v>37.9</v>
      </c>
      <c r="I20" s="6" t="n">
        <v>1.1</v>
      </c>
      <c r="J20" s="6" t="n">
        <v>34.9</v>
      </c>
      <c r="K20" s="6" t="n">
        <v>0.6</v>
      </c>
      <c r="L20" s="6" t="n">
        <v>11.1</v>
      </c>
      <c r="M20" s="6" t="n">
        <v>0</v>
      </c>
    </row>
    <row r="21" customFormat="false" ht="15" hidden="false" customHeight="false" outlineLevel="0" collapsed="false">
      <c r="A21" s="2" t="s">
        <v>136</v>
      </c>
      <c r="B21" s="6" t="n">
        <v>63.9</v>
      </c>
      <c r="C21" s="6" t="n">
        <v>3.2</v>
      </c>
      <c r="D21" s="6" t="n">
        <v>63.5</v>
      </c>
      <c r="E21" s="6" t="n">
        <v>3.7</v>
      </c>
      <c r="F21" s="6" t="n">
        <v>53.5</v>
      </c>
      <c r="G21" s="6" t="n">
        <v>2.3</v>
      </c>
      <c r="H21" s="6" t="n">
        <v>42.7</v>
      </c>
      <c r="I21" s="6" t="n">
        <v>2.1</v>
      </c>
      <c r="J21" s="6" t="n">
        <v>40.8</v>
      </c>
      <c r="K21" s="6" t="n">
        <v>1.8</v>
      </c>
      <c r="L21" s="6" t="n">
        <v>14.3</v>
      </c>
      <c r="M21" s="6" t="n">
        <v>0.1</v>
      </c>
    </row>
    <row r="22" customFormat="false" ht="15" hidden="false" customHeight="false" outlineLevel="0" collapsed="false">
      <c r="A22" s="2" t="s">
        <v>137</v>
      </c>
      <c r="B22" s="6" t="n">
        <v>83.9</v>
      </c>
      <c r="C22" s="6" t="n">
        <v>4.9</v>
      </c>
      <c r="D22" s="6" t="n">
        <v>76.8</v>
      </c>
      <c r="E22" s="6" t="n">
        <v>4.7</v>
      </c>
      <c r="F22" s="6" t="n">
        <v>58.5</v>
      </c>
      <c r="G22" s="6" t="n">
        <v>2.9</v>
      </c>
      <c r="H22" s="6" t="n">
        <v>65.8</v>
      </c>
      <c r="I22" s="6" t="n">
        <v>3.4</v>
      </c>
      <c r="J22" s="6" t="n">
        <v>65.1</v>
      </c>
      <c r="K22" s="6" t="n">
        <v>4</v>
      </c>
      <c r="L22" s="6" t="n">
        <v>22.4</v>
      </c>
      <c r="M22" s="6" t="n">
        <v>1</v>
      </c>
    </row>
    <row r="23" customFormat="false" ht="15" hidden="false" customHeight="false" outlineLevel="0" collapsed="false">
      <c r="A23" s="2" t="s">
        <v>138</v>
      </c>
      <c r="B23" s="6" t="n">
        <v>73.5</v>
      </c>
      <c r="C23" s="6" t="n">
        <v>6.5</v>
      </c>
      <c r="D23" s="6" t="n">
        <v>76.6</v>
      </c>
      <c r="E23" s="6" t="n">
        <v>8.1</v>
      </c>
      <c r="F23" s="6" t="n">
        <v>49.5</v>
      </c>
      <c r="G23" s="6" t="n">
        <v>3.8</v>
      </c>
      <c r="H23" s="6" t="n">
        <v>55.6</v>
      </c>
      <c r="I23" s="6" t="n">
        <v>2.6</v>
      </c>
      <c r="J23" s="6" t="n">
        <v>59.4</v>
      </c>
      <c r="K23" s="6" t="n">
        <v>5.9</v>
      </c>
      <c r="L23" s="6" t="n">
        <v>19.1</v>
      </c>
      <c r="M23" s="6" t="n">
        <v>0.6</v>
      </c>
    </row>
    <row r="25" customFormat="false" ht="15" hidden="false" customHeight="false" outlineLevel="0" collapsed="false">
      <c r="A25" s="1" t="s">
        <v>161</v>
      </c>
      <c r="B25" s="14" t="n">
        <f aca="false">B23/B19-1</f>
        <v>0.09375</v>
      </c>
      <c r="C25" s="14" t="n">
        <f aca="false">C23/C19-1</f>
        <v>0.857142857142857</v>
      </c>
      <c r="D25" s="14" t="n">
        <f aca="false">D23/D19-1</f>
        <v>0.0989956958393112</v>
      </c>
      <c r="E25" s="14" t="n">
        <f aca="false">E23/E19-1</f>
        <v>1.53125</v>
      </c>
      <c r="F25" s="14" t="n">
        <f aca="false">F23/F19-1</f>
        <v>0.0206185567010309</v>
      </c>
      <c r="G25" s="14" t="n">
        <f aca="false">G23/G19-1</f>
        <v>1</v>
      </c>
      <c r="H25" s="14" t="n">
        <f aca="false">H23/H19-1</f>
        <v>-0.0141843971631205</v>
      </c>
      <c r="I25" s="14" t="n">
        <f aca="false">I23/I19-1</f>
        <v>0.238095238095238</v>
      </c>
      <c r="J25" s="14" t="n">
        <f aca="false">J23/J19-1</f>
        <v>0.0859232175502742</v>
      </c>
      <c r="K25" s="14" t="n">
        <f aca="false">K23/K19-1</f>
        <v>1.36</v>
      </c>
      <c r="L25" s="14" t="n">
        <f aca="false">L23/L19-1</f>
        <v>-0.154867256637168</v>
      </c>
      <c r="M25" s="14" t="n">
        <f aca="false">M23/M19-1</f>
        <v>2</v>
      </c>
    </row>
    <row r="26" customFormat="false" ht="15" hidden="false" customHeight="false" outlineLevel="0" collapsed="false">
      <c r="A26" s="1" t="s">
        <v>162</v>
      </c>
      <c r="B26" s="19" t="n">
        <f aca="false">AVERAGE(B20:B23)/AVERAGE(B4:B7)-1</f>
        <v>-0.198332854268468</v>
      </c>
      <c r="C26" s="19" t="n">
        <f aca="false">AVERAGE(C20:C23)/AVERAGE(C4:C7)-1</f>
        <v>-0.225663716814159</v>
      </c>
      <c r="D26" s="19" t="n">
        <f aca="false">AVERAGE(D20:D23)/AVERAGE(D4:D7)-1</f>
        <v>-0.206191422891224</v>
      </c>
      <c r="E26" s="19" t="n">
        <f aca="false">AVERAGE(E20:E23)/AVERAGE(E4:E7)-1</f>
        <v>-0.0938967136150235</v>
      </c>
      <c r="F26" s="19" t="n">
        <f aca="false">AVERAGE(F20:F23)/AVERAGE(F4:F7)-1</f>
        <v>-0.208550185873606</v>
      </c>
      <c r="G26" s="19" t="n">
        <f aca="false">AVERAGE(G20:G23)/AVERAGE(G4:G7)-1</f>
        <v>-0.222972972972973</v>
      </c>
      <c r="H26" s="19" t="n">
        <f aca="false">AVERAGE(H20:H23)/AVERAGE(H4:H7)-1</f>
        <v>-0.287729196050776</v>
      </c>
      <c r="I26" s="19" t="n">
        <f aca="false">AVERAGE(I20:I23)/AVERAGE(I4:I7)-1</f>
        <v>-0.378378378378379</v>
      </c>
      <c r="J26" s="19" t="n">
        <f aca="false">AVERAGE(J20:J23)/AVERAGE(J4:J7)-1</f>
        <v>-0.229703732204694</v>
      </c>
      <c r="K26" s="19" t="n">
        <f aca="false">AVERAGE(K20:K23)/AVERAGE(K4:K7)-1</f>
        <v>-0.102189781021898</v>
      </c>
      <c r="L26" s="19" t="n">
        <f aca="false">AVERAGE(L20:L23)/AVERAGE(L4:L7)-1</f>
        <v>-0.176108374384236</v>
      </c>
      <c r="M26" s="19" t="n">
        <f aca="false">AVERAGE(M20:M23)/AVERAGE(M4:M7)-1</f>
        <v>-0.433333333333333</v>
      </c>
    </row>
    <row r="27" customFormat="false" ht="15" hidden="false" customHeight="false" outlineLevel="0" collapsed="false">
      <c r="A27" s="17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2026-10-07T21:00:05Z</dcterms:created>
  <dc:creator>openpyxl</dc:creator>
  <dc:description/>
  <dc:language>en-US</dc:language>
  <cp:lastModifiedBy/>
  <dcterms:modified xsi:type="dcterms:W3CDTF">2026-10-07T21:00:05Z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